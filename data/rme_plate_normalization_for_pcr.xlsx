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tamucc-my.sharepoint.com/personal/chris_bird_tamucc_edu/Documents/!students/Labrador_Dissertation/09_github-repositories/2026_labrador_preservation-of-edna-from-remote-areas/data/"/>
    </mc:Choice>
  </mc:AlternateContent>
  <xr:revisionPtr revIDLastSave="496" documentId="11_F25DC773A252ABDACC104819619D540C5BDE58E6" xr6:coauthVersionLast="47" xr6:coauthVersionMax="47" xr10:uidLastSave="{87BE81A1-A3F1-4C08-9F9E-C653E55A31F7}"/>
  <bookViews>
    <workbookView xWindow="-90" yWindow="-90" windowWidth="19380" windowHeight="10260" xr2:uid="{00000000-000D-0000-FFFF-FFFF00000000}"/>
  </bookViews>
  <sheets>
    <sheet name="Sheet1" sheetId="1" r:id="rId1"/>
  </sheets>
  <definedNames>
    <definedName name="_xlnm._FilterDatabase" localSheetId="0" hidden="1">Sheet1!$A$1:$R$121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N2" i="1"/>
  <c r="O2" i="1" s="1"/>
  <c r="P2" i="1" s="1"/>
  <c r="Q2" i="1" s="1"/>
  <c r="R2" i="1" s="1"/>
  <c r="N3" i="1"/>
  <c r="O3" i="1" s="1"/>
  <c r="P3" i="1" s="1"/>
  <c r="Q3" i="1" s="1"/>
  <c r="R3" i="1" s="1"/>
  <c r="N4" i="1"/>
  <c r="O4" i="1" s="1"/>
  <c r="P4" i="1" s="1"/>
  <c r="Q4" i="1" s="1"/>
  <c r="R4" i="1" s="1"/>
  <c r="N6" i="1"/>
  <c r="O6" i="1" s="1"/>
  <c r="P6" i="1" s="1"/>
  <c r="Q6" i="1" s="1"/>
  <c r="R6" i="1" s="1"/>
  <c r="N7" i="1"/>
  <c r="O7" i="1" s="1"/>
  <c r="P7" i="1" s="1"/>
  <c r="Q7" i="1" s="1"/>
  <c r="R7" i="1" s="1"/>
  <c r="N8" i="1"/>
  <c r="N9" i="1"/>
  <c r="O9" i="1" s="1"/>
  <c r="N10" i="1"/>
  <c r="O10" i="1" s="1"/>
  <c r="N11" i="1"/>
  <c r="O11" i="1" s="1"/>
  <c r="P11" i="1" s="1"/>
  <c r="Q11" i="1" s="1"/>
  <c r="R11" i="1" s="1"/>
  <c r="N12" i="1"/>
  <c r="O12" i="1" s="1"/>
  <c r="P12" i="1" s="1"/>
  <c r="Q12" i="1" s="1"/>
  <c r="R12" i="1" s="1"/>
  <c r="N13" i="1"/>
  <c r="O13" i="1" s="1"/>
  <c r="P13" i="1" s="1"/>
  <c r="Q13" i="1" s="1"/>
  <c r="R13" i="1" s="1"/>
  <c r="N14" i="1"/>
  <c r="N15" i="1"/>
  <c r="O15" i="1" s="1"/>
  <c r="P15" i="1" s="1"/>
  <c r="Q15" i="1" s="1"/>
  <c r="R15" i="1" s="1"/>
  <c r="N16" i="1"/>
  <c r="N17" i="1"/>
  <c r="O17" i="1" s="1"/>
  <c r="N18" i="1"/>
  <c r="O18" i="1" s="1"/>
  <c r="N19" i="1"/>
  <c r="O19" i="1" s="1"/>
  <c r="P19" i="1" s="1"/>
  <c r="Q19" i="1" s="1"/>
  <c r="R19" i="1" s="1"/>
  <c r="N20" i="1"/>
  <c r="N21" i="1"/>
  <c r="O21" i="1" s="1"/>
  <c r="P21" i="1" s="1"/>
  <c r="Q21" i="1" s="1"/>
  <c r="R21" i="1" s="1"/>
  <c r="N22" i="1"/>
  <c r="O22" i="1" s="1"/>
  <c r="P22" i="1" s="1"/>
  <c r="Q22" i="1" s="1"/>
  <c r="R22" i="1" s="1"/>
  <c r="N23" i="1"/>
  <c r="O23" i="1" s="1"/>
  <c r="P23" i="1" s="1"/>
  <c r="Q23" i="1" s="1"/>
  <c r="R23" i="1" s="1"/>
  <c r="N24" i="1"/>
  <c r="O24" i="1" s="1"/>
  <c r="N25" i="1"/>
  <c r="O25" i="1" s="1"/>
  <c r="N26" i="1"/>
  <c r="O26" i="1" s="1"/>
  <c r="N27" i="1"/>
  <c r="O27" i="1" s="1"/>
  <c r="P27" i="1" s="1"/>
  <c r="Q27" i="1" s="1"/>
  <c r="R27" i="1" s="1"/>
  <c r="N28" i="1"/>
  <c r="N29" i="1"/>
  <c r="O29" i="1" s="1"/>
  <c r="P29" i="1" s="1"/>
  <c r="Q29" i="1" s="1"/>
  <c r="R29" i="1" s="1"/>
  <c r="N30" i="1"/>
  <c r="O30" i="1" s="1"/>
  <c r="P30" i="1" s="1"/>
  <c r="Q30" i="1" s="1"/>
  <c r="R30" i="1" s="1"/>
  <c r="N31" i="1"/>
  <c r="O31" i="1" s="1"/>
  <c r="P31" i="1" s="1"/>
  <c r="Q31" i="1" s="1"/>
  <c r="R31" i="1" s="1"/>
  <c r="N32" i="1"/>
  <c r="N33" i="1"/>
  <c r="O33" i="1" s="1"/>
  <c r="N34" i="1"/>
  <c r="O34" i="1" s="1"/>
  <c r="N35" i="1"/>
  <c r="O35" i="1" s="1"/>
  <c r="P35" i="1" s="1"/>
  <c r="Q35" i="1" s="1"/>
  <c r="R35" i="1" s="1"/>
  <c r="N36" i="1"/>
  <c r="O36" i="1" s="1"/>
  <c r="P36" i="1" s="1"/>
  <c r="Q36" i="1" s="1"/>
  <c r="R36" i="1" s="1"/>
  <c r="N37" i="1"/>
  <c r="O37" i="1" s="1"/>
  <c r="P37" i="1" s="1"/>
  <c r="Q37" i="1" s="1"/>
  <c r="R37" i="1" s="1"/>
  <c r="N38" i="1"/>
  <c r="O38" i="1" s="1"/>
  <c r="P38" i="1" s="1"/>
  <c r="Q38" i="1" s="1"/>
  <c r="R38" i="1" s="1"/>
  <c r="N39" i="1"/>
  <c r="O39" i="1" s="1"/>
  <c r="P39" i="1" s="1"/>
  <c r="Q39" i="1" s="1"/>
  <c r="R39" i="1" s="1"/>
  <c r="N40" i="1"/>
  <c r="N41" i="1"/>
  <c r="O41" i="1" s="1"/>
  <c r="N42" i="1"/>
  <c r="O42" i="1" s="1"/>
  <c r="N43" i="1"/>
  <c r="O43" i="1" s="1"/>
  <c r="P43" i="1" s="1"/>
  <c r="Q43" i="1" s="1"/>
  <c r="R43" i="1" s="1"/>
  <c r="N44" i="1"/>
  <c r="O44" i="1" s="1"/>
  <c r="P44" i="1" s="1"/>
  <c r="Q44" i="1" s="1"/>
  <c r="R44" i="1" s="1"/>
  <c r="N45" i="1"/>
  <c r="O45" i="1" s="1"/>
  <c r="P45" i="1" s="1"/>
  <c r="Q45" i="1" s="1"/>
  <c r="R45" i="1" s="1"/>
  <c r="N46" i="1"/>
  <c r="N47" i="1"/>
  <c r="O47" i="1" s="1"/>
  <c r="P47" i="1" s="1"/>
  <c r="Q47" i="1" s="1"/>
  <c r="R47" i="1" s="1"/>
  <c r="N48" i="1"/>
  <c r="O48" i="1" s="1"/>
  <c r="N49" i="1"/>
  <c r="O49" i="1" s="1"/>
  <c r="N50" i="1"/>
  <c r="O50" i="1" s="1"/>
  <c r="N51" i="1"/>
  <c r="O51" i="1" s="1"/>
  <c r="P51" i="1" s="1"/>
  <c r="Q51" i="1" s="1"/>
  <c r="R51" i="1" s="1"/>
  <c r="N52" i="1"/>
  <c r="N53" i="1"/>
  <c r="O53" i="1" s="1"/>
  <c r="P53" i="1" s="1"/>
  <c r="Q53" i="1" s="1"/>
  <c r="R53" i="1" s="1"/>
  <c r="N54" i="1"/>
  <c r="O54" i="1" s="1"/>
  <c r="P54" i="1" s="1"/>
  <c r="Q54" i="1" s="1"/>
  <c r="R54" i="1" s="1"/>
  <c r="N55" i="1"/>
  <c r="O55" i="1" s="1"/>
  <c r="P55" i="1" s="1"/>
  <c r="Q55" i="1" s="1"/>
  <c r="R55" i="1" s="1"/>
  <c r="N56" i="1"/>
  <c r="O56" i="1" s="1"/>
  <c r="N57" i="1"/>
  <c r="O57" i="1" s="1"/>
  <c r="N58" i="1"/>
  <c r="O58" i="1" s="1"/>
  <c r="N59" i="1"/>
  <c r="O59" i="1" s="1"/>
  <c r="P59" i="1" s="1"/>
  <c r="Q59" i="1" s="1"/>
  <c r="R59" i="1" s="1"/>
  <c r="N60" i="1"/>
  <c r="N61" i="1"/>
  <c r="O61" i="1" s="1"/>
  <c r="P61" i="1" s="1"/>
  <c r="Q61" i="1" s="1"/>
  <c r="R61" i="1" s="1"/>
  <c r="N62" i="1"/>
  <c r="O62" i="1" s="1"/>
  <c r="P62" i="1" s="1"/>
  <c r="Q62" i="1" s="1"/>
  <c r="R62" i="1" s="1"/>
  <c r="N63" i="1"/>
  <c r="O63" i="1" s="1"/>
  <c r="P63" i="1" s="1"/>
  <c r="Q63" i="1" s="1"/>
  <c r="R63" i="1" s="1"/>
  <c r="N64" i="1"/>
  <c r="N65" i="1"/>
  <c r="O65" i="1" s="1"/>
  <c r="N66" i="1"/>
  <c r="O66" i="1" s="1"/>
  <c r="N67" i="1"/>
  <c r="O67" i="1" s="1"/>
  <c r="P67" i="1" s="1"/>
  <c r="Q67" i="1" s="1"/>
  <c r="R67" i="1" s="1"/>
  <c r="N68" i="1"/>
  <c r="O68" i="1" s="1"/>
  <c r="P68" i="1" s="1"/>
  <c r="Q68" i="1" s="1"/>
  <c r="R68" i="1" s="1"/>
  <c r="N69" i="1"/>
  <c r="O69" i="1" s="1"/>
  <c r="P69" i="1" s="1"/>
  <c r="Q69" i="1" s="1"/>
  <c r="R69" i="1" s="1"/>
  <c r="N70" i="1"/>
  <c r="O70" i="1" s="1"/>
  <c r="P70" i="1" s="1"/>
  <c r="Q70" i="1" s="1"/>
  <c r="R70" i="1" s="1"/>
  <c r="N71" i="1"/>
  <c r="O71" i="1" s="1"/>
  <c r="P71" i="1" s="1"/>
  <c r="Q71" i="1" s="1"/>
  <c r="R71" i="1" s="1"/>
  <c r="N72" i="1"/>
  <c r="N73" i="1"/>
  <c r="O73" i="1" s="1"/>
  <c r="N74" i="1"/>
  <c r="O74" i="1" s="1"/>
  <c r="N75" i="1"/>
  <c r="O75" i="1" s="1"/>
  <c r="P75" i="1" s="1"/>
  <c r="Q75" i="1" s="1"/>
  <c r="R75" i="1" s="1"/>
  <c r="N76" i="1"/>
  <c r="O76" i="1" s="1"/>
  <c r="P76" i="1" s="1"/>
  <c r="Q76" i="1" s="1"/>
  <c r="R76" i="1" s="1"/>
  <c r="N77" i="1"/>
  <c r="O77" i="1" s="1"/>
  <c r="P77" i="1" s="1"/>
  <c r="Q77" i="1" s="1"/>
  <c r="R77" i="1" s="1"/>
  <c r="N78" i="1"/>
  <c r="N79" i="1"/>
  <c r="O79" i="1" s="1"/>
  <c r="P79" i="1" s="1"/>
  <c r="Q79" i="1" s="1"/>
  <c r="R79" i="1" s="1"/>
  <c r="N80" i="1"/>
  <c r="O80" i="1" s="1"/>
  <c r="N81" i="1"/>
  <c r="O81" i="1" s="1"/>
  <c r="N82" i="1"/>
  <c r="O82" i="1" s="1"/>
  <c r="N83" i="1"/>
  <c r="O83" i="1" s="1"/>
  <c r="P83" i="1" s="1"/>
  <c r="Q83" i="1" s="1"/>
  <c r="R83" i="1" s="1"/>
  <c r="N84" i="1"/>
  <c r="N85" i="1"/>
  <c r="O85" i="1" s="1"/>
  <c r="P85" i="1" s="1"/>
  <c r="Q85" i="1" s="1"/>
  <c r="R85" i="1" s="1"/>
  <c r="N86" i="1"/>
  <c r="O86" i="1" s="1"/>
  <c r="P86" i="1" s="1"/>
  <c r="Q86" i="1" s="1"/>
  <c r="R86" i="1" s="1"/>
  <c r="N87" i="1"/>
  <c r="O87" i="1" s="1"/>
  <c r="P87" i="1" s="1"/>
  <c r="Q87" i="1" s="1"/>
  <c r="R87" i="1" s="1"/>
  <c r="N88" i="1"/>
  <c r="O88" i="1" s="1"/>
  <c r="N89" i="1"/>
  <c r="O89" i="1" s="1"/>
  <c r="N90" i="1"/>
  <c r="O90" i="1" s="1"/>
  <c r="N91" i="1"/>
  <c r="O91" i="1" s="1"/>
  <c r="P91" i="1" s="1"/>
  <c r="Q91" i="1" s="1"/>
  <c r="R91" i="1" s="1"/>
  <c r="N106" i="1"/>
  <c r="N102" i="1"/>
  <c r="O102" i="1" s="1"/>
  <c r="P102" i="1" s="1"/>
  <c r="Q102" i="1" s="1"/>
  <c r="R102" i="1" s="1"/>
  <c r="N113" i="1"/>
  <c r="O113" i="1" s="1"/>
  <c r="P113" i="1" s="1"/>
  <c r="Q113" i="1" s="1"/>
  <c r="R113" i="1" s="1"/>
  <c r="N99" i="1"/>
  <c r="O99" i="1" s="1"/>
  <c r="P99" i="1" s="1"/>
  <c r="Q99" i="1" s="1"/>
  <c r="R99" i="1" s="1"/>
  <c r="N118" i="1"/>
  <c r="O118" i="1" s="1"/>
  <c r="N119" i="1"/>
  <c r="O119" i="1" s="1"/>
  <c r="N116" i="1"/>
  <c r="O116" i="1" s="1"/>
  <c r="N93" i="1"/>
  <c r="O93" i="1" s="1"/>
  <c r="P93" i="1" s="1"/>
  <c r="Q93" i="1" s="1"/>
  <c r="R93" i="1" s="1"/>
  <c r="N108" i="1"/>
  <c r="O108" i="1" s="1"/>
  <c r="P108" i="1" s="1"/>
  <c r="Q108" i="1" s="1"/>
  <c r="R108" i="1" s="1"/>
  <c r="N117" i="1"/>
  <c r="O117" i="1" s="1"/>
  <c r="P117" i="1" s="1"/>
  <c r="Q117" i="1" s="1"/>
  <c r="R117" i="1" s="1"/>
  <c r="N115" i="1"/>
  <c r="O115" i="1" s="1"/>
  <c r="P115" i="1" s="1"/>
  <c r="Q115" i="1" s="1"/>
  <c r="R115" i="1" s="1"/>
  <c r="N114" i="1"/>
  <c r="O114" i="1" s="1"/>
  <c r="P114" i="1" s="1"/>
  <c r="Q114" i="1" s="1"/>
  <c r="R114" i="1" s="1"/>
  <c r="N110" i="1"/>
  <c r="N97" i="1"/>
  <c r="O97" i="1" s="1"/>
  <c r="N98" i="1"/>
  <c r="O98" i="1" s="1"/>
  <c r="N92" i="1"/>
  <c r="O92" i="1" s="1"/>
  <c r="P92" i="1" s="1"/>
  <c r="Q92" i="1" s="1"/>
  <c r="R92" i="1" s="1"/>
  <c r="N94" i="1"/>
  <c r="O94" i="1" s="1"/>
  <c r="P94" i="1" s="1"/>
  <c r="Q94" i="1" s="1"/>
  <c r="R94" i="1" s="1"/>
  <c r="N121" i="1"/>
  <c r="O121" i="1" s="1"/>
  <c r="P121" i="1" s="1"/>
  <c r="Q121" i="1" s="1"/>
  <c r="R121" i="1" s="1"/>
  <c r="N105" i="1"/>
  <c r="N96" i="1"/>
  <c r="O96" i="1" s="1"/>
  <c r="P96" i="1" s="1"/>
  <c r="Q96" i="1" s="1"/>
  <c r="R96" i="1" s="1"/>
  <c r="N100" i="1"/>
  <c r="N104" i="1"/>
  <c r="O104" i="1" s="1"/>
  <c r="N111" i="1"/>
  <c r="O111" i="1" s="1"/>
  <c r="N109" i="1"/>
  <c r="O109" i="1" s="1"/>
  <c r="P109" i="1" s="1"/>
  <c r="Q109" i="1" s="1"/>
  <c r="R109" i="1" s="1"/>
  <c r="N107" i="1"/>
  <c r="N112" i="1"/>
  <c r="O112" i="1" s="1"/>
  <c r="P112" i="1" s="1"/>
  <c r="Q112" i="1" s="1"/>
  <c r="R112" i="1" s="1"/>
  <c r="N101" i="1"/>
  <c r="O101" i="1" s="1"/>
  <c r="P101" i="1" s="1"/>
  <c r="Q101" i="1" s="1"/>
  <c r="R101" i="1" s="1"/>
  <c r="N103" i="1"/>
  <c r="O103" i="1" s="1"/>
  <c r="P103" i="1" s="1"/>
  <c r="Q103" i="1" s="1"/>
  <c r="R103" i="1" s="1"/>
  <c r="N95" i="1"/>
  <c r="O95" i="1" s="1"/>
  <c r="N120" i="1"/>
  <c r="O120" i="1" s="1"/>
  <c r="O100" i="1" l="1"/>
  <c r="P100" i="1" s="1"/>
  <c r="Q100" i="1" s="1"/>
  <c r="R100" i="1" s="1"/>
  <c r="O110" i="1"/>
  <c r="P110" i="1" s="1"/>
  <c r="Q110" i="1" s="1"/>
  <c r="R110" i="1" s="1"/>
  <c r="O72" i="1"/>
  <c r="P72" i="1" s="1"/>
  <c r="Q72" i="1" s="1"/>
  <c r="R72" i="1" s="1"/>
  <c r="O64" i="1"/>
  <c r="P64" i="1" s="1"/>
  <c r="Q64" i="1" s="1"/>
  <c r="R64" i="1" s="1"/>
  <c r="O40" i="1"/>
  <c r="P40" i="1" s="1"/>
  <c r="Q40" i="1" s="1"/>
  <c r="R40" i="1" s="1"/>
  <c r="O32" i="1"/>
  <c r="P32" i="1" s="1"/>
  <c r="Q32" i="1" s="1"/>
  <c r="R32" i="1" s="1"/>
  <c r="O16" i="1"/>
  <c r="P16" i="1" s="1"/>
  <c r="Q16" i="1" s="1"/>
  <c r="R16" i="1" s="1"/>
  <c r="O8" i="1"/>
  <c r="P8" i="1" s="1"/>
  <c r="Q8" i="1" s="1"/>
  <c r="R8" i="1" s="1"/>
  <c r="P118" i="1"/>
  <c r="Q118" i="1" s="1"/>
  <c r="R118" i="1" s="1"/>
  <c r="P56" i="1"/>
  <c r="Q56" i="1" s="1"/>
  <c r="R56" i="1" s="1"/>
  <c r="O105" i="1"/>
  <c r="P105" i="1" s="1"/>
  <c r="Q105" i="1" s="1"/>
  <c r="R105" i="1" s="1"/>
  <c r="O78" i="1"/>
  <c r="P78" i="1" s="1"/>
  <c r="Q78" i="1" s="1"/>
  <c r="R78" i="1" s="1"/>
  <c r="O46" i="1"/>
  <c r="P46" i="1" s="1"/>
  <c r="Q46" i="1" s="1"/>
  <c r="R46" i="1" s="1"/>
  <c r="O14" i="1"/>
  <c r="P14" i="1" s="1"/>
  <c r="Q14" i="1" s="1"/>
  <c r="R14" i="1" s="1"/>
  <c r="P88" i="1"/>
  <c r="Q88" i="1" s="1"/>
  <c r="R88" i="1" s="1"/>
  <c r="P48" i="1"/>
  <c r="Q48" i="1" s="1"/>
  <c r="R48" i="1" s="1"/>
  <c r="P95" i="1"/>
  <c r="Q95" i="1" s="1"/>
  <c r="R95" i="1" s="1"/>
  <c r="P80" i="1"/>
  <c r="Q80" i="1" s="1"/>
  <c r="R80" i="1" s="1"/>
  <c r="P24" i="1"/>
  <c r="Q24" i="1" s="1"/>
  <c r="R24" i="1" s="1"/>
  <c r="O107" i="1"/>
  <c r="P107" i="1" s="1"/>
  <c r="Q107" i="1" s="1"/>
  <c r="R107" i="1" s="1"/>
  <c r="O106" i="1"/>
  <c r="P106" i="1" s="1"/>
  <c r="Q106" i="1" s="1"/>
  <c r="R106" i="1" s="1"/>
  <c r="O84" i="1"/>
  <c r="P84" i="1" s="1"/>
  <c r="Q84" i="1" s="1"/>
  <c r="R84" i="1" s="1"/>
  <c r="O60" i="1"/>
  <c r="P60" i="1" s="1"/>
  <c r="Q60" i="1" s="1"/>
  <c r="R60" i="1" s="1"/>
  <c r="O52" i="1"/>
  <c r="P52" i="1" s="1"/>
  <c r="Q52" i="1" s="1"/>
  <c r="R52" i="1" s="1"/>
  <c r="O28" i="1"/>
  <c r="P28" i="1" s="1"/>
  <c r="Q28" i="1" s="1"/>
  <c r="R28" i="1" s="1"/>
  <c r="O20" i="1"/>
  <c r="P20" i="1" s="1"/>
  <c r="Q20" i="1" s="1"/>
  <c r="R20" i="1" s="1"/>
  <c r="P82" i="1"/>
  <c r="Q82" i="1" s="1"/>
  <c r="R82" i="1" s="1"/>
  <c r="P74" i="1"/>
  <c r="Q74" i="1" s="1"/>
  <c r="R74" i="1" s="1"/>
  <c r="P66" i="1"/>
  <c r="Q66" i="1" s="1"/>
  <c r="R66" i="1" s="1"/>
  <c r="P58" i="1"/>
  <c r="Q58" i="1" s="1"/>
  <c r="R58" i="1" s="1"/>
  <c r="P50" i="1"/>
  <c r="Q50" i="1" s="1"/>
  <c r="R50" i="1" s="1"/>
  <c r="P42" i="1"/>
  <c r="Q42" i="1" s="1"/>
  <c r="R42" i="1" s="1"/>
  <c r="P34" i="1"/>
  <c r="Q34" i="1" s="1"/>
  <c r="R34" i="1" s="1"/>
  <c r="P26" i="1"/>
  <c r="Q26" i="1" s="1"/>
  <c r="R26" i="1" s="1"/>
  <c r="P18" i="1"/>
  <c r="Q18" i="1" s="1"/>
  <c r="R18" i="1" s="1"/>
  <c r="P10" i="1"/>
  <c r="Q10" i="1" s="1"/>
  <c r="R10" i="1" s="1"/>
  <c r="P111" i="1"/>
  <c r="Q111" i="1" s="1"/>
  <c r="R111" i="1" s="1"/>
  <c r="P98" i="1"/>
  <c r="Q98" i="1" s="1"/>
  <c r="R98" i="1" s="1"/>
  <c r="P116" i="1"/>
  <c r="Q116" i="1" s="1"/>
  <c r="R116" i="1" s="1"/>
  <c r="P90" i="1"/>
  <c r="Q90" i="1" s="1"/>
  <c r="R90" i="1" s="1"/>
  <c r="P120" i="1"/>
  <c r="Q120" i="1" s="1"/>
  <c r="R120" i="1" s="1"/>
  <c r="P104" i="1"/>
  <c r="Q104" i="1" s="1"/>
  <c r="R104" i="1" s="1"/>
  <c r="P97" i="1"/>
  <c r="Q97" i="1" s="1"/>
  <c r="R97" i="1" s="1"/>
  <c r="P119" i="1"/>
  <c r="Q119" i="1" s="1"/>
  <c r="R119" i="1" s="1"/>
  <c r="P89" i="1"/>
  <c r="Q89" i="1" s="1"/>
  <c r="R89" i="1" s="1"/>
  <c r="P81" i="1"/>
  <c r="Q81" i="1" s="1"/>
  <c r="R81" i="1" s="1"/>
  <c r="P73" i="1"/>
  <c r="Q73" i="1" s="1"/>
  <c r="R73" i="1" s="1"/>
  <c r="P65" i="1"/>
  <c r="Q65" i="1" s="1"/>
  <c r="R65" i="1" s="1"/>
  <c r="P57" i="1"/>
  <c r="Q57" i="1" s="1"/>
  <c r="R57" i="1" s="1"/>
  <c r="P49" i="1"/>
  <c r="Q49" i="1" s="1"/>
  <c r="R49" i="1" s="1"/>
  <c r="P41" i="1"/>
  <c r="Q41" i="1" s="1"/>
  <c r="R41" i="1" s="1"/>
  <c r="P33" i="1"/>
  <c r="Q33" i="1" s="1"/>
  <c r="R33" i="1" s="1"/>
  <c r="P25" i="1"/>
  <c r="Q25" i="1" s="1"/>
  <c r="R25" i="1" s="1"/>
  <c r="P17" i="1"/>
  <c r="Q17" i="1" s="1"/>
  <c r="R17" i="1" s="1"/>
  <c r="P9" i="1"/>
  <c r="Q9" i="1" s="1"/>
  <c r="R9" i="1" s="1"/>
</calcChain>
</file>

<file path=xl/sharedStrings.xml><?xml version="1.0" encoding="utf-8"?>
<sst xmlns="http://schemas.openxmlformats.org/spreadsheetml/2006/main" count="905" uniqueCount="200">
  <si>
    <t>dna_plate_id</t>
  </si>
  <si>
    <t>dna_extract_tube_id</t>
  </si>
  <si>
    <t>preservative</t>
  </si>
  <si>
    <t>dna_plate_row</t>
  </si>
  <si>
    <t>dna_plate_col</t>
  </si>
  <si>
    <t>sample_id</t>
  </si>
  <si>
    <t>ng_per_ul_mean</t>
  </si>
  <si>
    <t>rme_dna_02-06-24</t>
  </si>
  <si>
    <t>rme_01</t>
  </si>
  <si>
    <t>sample</t>
  </si>
  <si>
    <t>cold storage</t>
  </si>
  <si>
    <t>F</t>
  </si>
  <si>
    <t>adu-1123-cs</t>
  </si>
  <si>
    <t>rme_02</t>
  </si>
  <si>
    <t>E</t>
  </si>
  <si>
    <t>agt-1123-cs</t>
  </si>
  <si>
    <t>rme_03</t>
  </si>
  <si>
    <t>A</t>
  </si>
  <si>
    <t>cga-1123-cs</t>
  </si>
  <si>
    <t>rme_04</t>
  </si>
  <si>
    <t>D</t>
  </si>
  <si>
    <t>cmu-1123-cs</t>
  </si>
  <si>
    <t>rme_05</t>
  </si>
  <si>
    <t>C</t>
  </si>
  <si>
    <t>cvi-1123-cs</t>
  </si>
  <si>
    <t>rme_06</t>
  </si>
  <si>
    <t>H</t>
  </si>
  <si>
    <t>hpo-1123-cs</t>
  </si>
  <si>
    <t>rme_07</t>
  </si>
  <si>
    <t>jre-1123-cs</t>
  </si>
  <si>
    <t>rme_08</t>
  </si>
  <si>
    <t>mch-1123-cs</t>
  </si>
  <si>
    <t>rme_09</t>
  </si>
  <si>
    <t>G</t>
  </si>
  <si>
    <t>okg-1123-cs</t>
  </si>
  <si>
    <t>rme_10</t>
  </si>
  <si>
    <t>rre-1123-cs</t>
  </si>
  <si>
    <t>rme_11</t>
  </si>
  <si>
    <t>sip-1123-cs</t>
  </si>
  <si>
    <t>rme_12</t>
  </si>
  <si>
    <t>spo-1123-cs</t>
  </si>
  <si>
    <t>rme_13</t>
  </si>
  <si>
    <t>wha-1123-cs</t>
  </si>
  <si>
    <t>rme_14</t>
  </si>
  <si>
    <t>control</t>
  </si>
  <si>
    <t>nfc-1123-cs</t>
  </si>
  <si>
    <t>rme_15</t>
  </si>
  <si>
    <t>no preservative</t>
  </si>
  <si>
    <t>nec-0124-np</t>
  </si>
  <si>
    <t>rme_16</t>
  </si>
  <si>
    <t>dess</t>
  </si>
  <si>
    <t>wha-1123-ds</t>
  </si>
  <si>
    <t>rme_17</t>
  </si>
  <si>
    <t>buffer tl</t>
  </si>
  <si>
    <t>adu-1123-tl</t>
  </si>
  <si>
    <t>rme_18</t>
  </si>
  <si>
    <t>jre-1123-ds</t>
  </si>
  <si>
    <t>rme_19</t>
  </si>
  <si>
    <t>adu-1123-ds</t>
  </si>
  <si>
    <t>rme_20</t>
  </si>
  <si>
    <t>wha-1123-tl</t>
  </si>
  <si>
    <t>rme_21</t>
  </si>
  <si>
    <t>sip-1123-tl</t>
  </si>
  <si>
    <t>rme_22</t>
  </si>
  <si>
    <t>agt-1123-tl</t>
  </si>
  <si>
    <t>rme_23</t>
  </si>
  <si>
    <t>cvi-1123-tl</t>
  </si>
  <si>
    <t>rme_24</t>
  </si>
  <si>
    <t>rme_25</t>
  </si>
  <si>
    <t>rre-1123-ds</t>
  </si>
  <si>
    <t>rme_26</t>
  </si>
  <si>
    <t>B</t>
  </si>
  <si>
    <t>mch-1123-ds</t>
  </si>
  <si>
    <t>rme_27</t>
  </si>
  <si>
    <t>rre-1123-tl</t>
  </si>
  <si>
    <t>rme_28</t>
  </si>
  <si>
    <t>nfc-1123-ds</t>
  </si>
  <si>
    <t>rme_29</t>
  </si>
  <si>
    <t>okg-1123-ds</t>
  </si>
  <si>
    <t>rme_30</t>
  </si>
  <si>
    <t>hpo-1123-ds</t>
  </si>
  <si>
    <t>rme_31</t>
  </si>
  <si>
    <t>mch-1123-tl</t>
  </si>
  <si>
    <t>rme_32</t>
  </si>
  <si>
    <t>spo-1123-ds</t>
  </si>
  <si>
    <t>rme_33</t>
  </si>
  <si>
    <t>spo-1123-tl</t>
  </si>
  <si>
    <t>rme_34</t>
  </si>
  <si>
    <t>sip-1123-ds</t>
  </si>
  <si>
    <t>rme_35</t>
  </si>
  <si>
    <t>rme_36</t>
  </si>
  <si>
    <t>okg-1123-tl</t>
  </si>
  <si>
    <t>rme_37</t>
  </si>
  <si>
    <t>cmu-1123-tl</t>
  </si>
  <si>
    <t>rme_38</t>
  </si>
  <si>
    <t>agt-1123-ds</t>
  </si>
  <si>
    <t>rme_39</t>
  </si>
  <si>
    <t>cga-1123-tl</t>
  </si>
  <si>
    <t>rme_40</t>
  </si>
  <si>
    <t>cmu-1123-ds</t>
  </si>
  <si>
    <t>rme_41</t>
  </si>
  <si>
    <t>cvi-1123-ds</t>
  </si>
  <si>
    <t>rme_42</t>
  </si>
  <si>
    <t>nfc-1123-tl</t>
  </si>
  <si>
    <t>rme_43</t>
  </si>
  <si>
    <t>hpo-1123-tl</t>
  </si>
  <si>
    <t>rme_44</t>
  </si>
  <si>
    <t>jre-1123-tl</t>
  </si>
  <si>
    <t>rme_45</t>
  </si>
  <si>
    <t>cga-1123-ds</t>
  </si>
  <si>
    <t>rme_46</t>
  </si>
  <si>
    <t>rme_47</t>
  </si>
  <si>
    <t>rme_48</t>
  </si>
  <si>
    <t>rme_49</t>
  </si>
  <si>
    <t>rme_50</t>
  </si>
  <si>
    <t>rme_51</t>
  </si>
  <si>
    <t>rme_52</t>
  </si>
  <si>
    <t>rme_53</t>
  </si>
  <si>
    <t>rme_54</t>
  </si>
  <si>
    <t>rme_55</t>
  </si>
  <si>
    <t>rme_56</t>
  </si>
  <si>
    <t>rme_57</t>
  </si>
  <si>
    <t>rme_58</t>
  </si>
  <si>
    <t>rme_59</t>
  </si>
  <si>
    <t>rme_60</t>
  </si>
  <si>
    <t>rme_61</t>
  </si>
  <si>
    <t>rme_62</t>
  </si>
  <si>
    <t>rme_63</t>
  </si>
  <si>
    <t>rme_64</t>
  </si>
  <si>
    <t>rme_65</t>
  </si>
  <si>
    <t>rme_66</t>
  </si>
  <si>
    <t>rme_67</t>
  </si>
  <si>
    <t>rme_68</t>
  </si>
  <si>
    <t>rme_69</t>
  </si>
  <si>
    <t>rme_70</t>
  </si>
  <si>
    <t>rme_71</t>
  </si>
  <si>
    <t>rme_72</t>
  </si>
  <si>
    <t>rme_73</t>
  </si>
  <si>
    <t>rme_74</t>
  </si>
  <si>
    <t>rme_75</t>
  </si>
  <si>
    <t>rme_76</t>
  </si>
  <si>
    <t>rme_77</t>
  </si>
  <si>
    <t>rme_78</t>
  </si>
  <si>
    <t>rme_79</t>
  </si>
  <si>
    <t>rme_80</t>
  </si>
  <si>
    <t>rme_81</t>
  </si>
  <si>
    <t>rme_82</t>
  </si>
  <si>
    <t>rme_83</t>
  </si>
  <si>
    <t>rme_84</t>
  </si>
  <si>
    <t>rme_85</t>
  </si>
  <si>
    <t>rme_86</t>
  </si>
  <si>
    <t>rme_87</t>
  </si>
  <si>
    <t>rme_88</t>
  </si>
  <si>
    <t>rme_89</t>
  </si>
  <si>
    <t>rme_90</t>
  </si>
  <si>
    <t>sample_type</t>
  </si>
  <si>
    <t>rme_preservative_dna_2024-11-06</t>
  </si>
  <si>
    <t>rmep_31</t>
  </si>
  <si>
    <t>rmep_27</t>
  </si>
  <si>
    <t>rmep_39</t>
  </si>
  <si>
    <t>rmep_23</t>
  </si>
  <si>
    <t>rmep_44</t>
  </si>
  <si>
    <t>rmep_45</t>
  </si>
  <si>
    <t>rmep_42</t>
  </si>
  <si>
    <t>rmep_17</t>
  </si>
  <si>
    <t>rmep_33</t>
  </si>
  <si>
    <t>rmep_43</t>
  </si>
  <si>
    <t>rmep_41</t>
  </si>
  <si>
    <t>rmep_40</t>
  </si>
  <si>
    <t>rmep_36</t>
  </si>
  <si>
    <t>rmep_21</t>
  </si>
  <si>
    <t>rmep_22</t>
  </si>
  <si>
    <t>rmep_16</t>
  </si>
  <si>
    <t>rmep_18</t>
  </si>
  <si>
    <t>rmep_47</t>
  </si>
  <si>
    <t>elution buffer</t>
  </si>
  <si>
    <t>gcl-1104-nc</t>
  </si>
  <si>
    <t>rmep_30</t>
  </si>
  <si>
    <t>rmep_20</t>
  </si>
  <si>
    <t>rmep_25</t>
  </si>
  <si>
    <t>rmep_29</t>
  </si>
  <si>
    <t>rmep_37</t>
  </si>
  <si>
    <t>rmep_34</t>
  </si>
  <si>
    <t>rmep_32</t>
  </si>
  <si>
    <t>rmep_38</t>
  </si>
  <si>
    <t>rmep_26</t>
  </si>
  <si>
    <t>rmep_28</t>
  </si>
  <si>
    <t>rmep_19</t>
  </si>
  <si>
    <t>rmep_46</t>
  </si>
  <si>
    <t>desired_normalized_plate_elution_volume_ul</t>
  </si>
  <si>
    <t>sample_volume_to_get_desired_concentration_ul</t>
  </si>
  <si>
    <t>max_sample_volume_for_normalization_ul</t>
  </si>
  <si>
    <t>desired_normalized_concentration_ng_per_ul</t>
  </si>
  <si>
    <t>total_dna_needed_for_normalization_ng</t>
  </si>
  <si>
    <t>sample_volume_for_normalization_ul</t>
  </si>
  <si>
    <t>total_dna_in_normalized_plate_ng</t>
  </si>
  <si>
    <t>dna_concentration_in_normalized_plate_ng_per_ul</t>
  </si>
  <si>
    <t>normalized_dna_plate_row</t>
  </si>
  <si>
    <t>normalized_dna_plate_col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</si>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</sst>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right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R121"/>
  <sheetViews>
    <sheetView tabSelected="1" topLeftCell="H1" zoomScale="85" zoomScaleNormal="85" workbookViewId="0">
      <pane ySplit="1" topLeftCell="A2" activePane="bottomLeft" state="frozen"/>
      <selection pane="bottomLeft" activeCell="Q6" sqref="Q6"/>
    </sheetView>
  </sheetViews>
  <sheetFormatPr defaultColWidth="32.7265625" defaultRowHeight="14.75" x14ac:dyDescent="0.75"/>
  <cols>
    <col min="1" max="1" width="30.76953125" bestFit="1" customWidth="1"/>
    <col min="2" max="2" width="14.26953125" customWidth="1"/>
    <col min="3" max="3" width="12.86328125" customWidth="1"/>
    <col min="4" max="4" width="15.86328125" customWidth="1"/>
    <col min="5" max="5" width="9.31640625" style="2" customWidth="1"/>
    <col min="6" max="7" width="9.04296875" style="2" customWidth="1"/>
    <col min="8" max="8" width="14.2265625" style="2" bestFit="1" customWidth="1"/>
    <col min="9" max="9" width="11.81640625" bestFit="1" customWidth="1"/>
    <col min="10" max="10" width="9.1328125" style="1" bestFit="1" customWidth="1"/>
    <col min="11" max="11" width="13.40625" bestFit="1" customWidth="1"/>
    <col min="12" max="12" width="10.6328125" style="1" bestFit="1" customWidth="1"/>
    <col min="13" max="13" width="13.7265625" style="1" bestFit="1" customWidth="1"/>
    <col min="14" max="14" width="9.81640625" style="1" bestFit="1" customWidth="1"/>
    <col min="15" max="15" width="12.54296875" style="1" bestFit="1" customWidth="1"/>
    <col min="16" max="16" width="13.86328125" style="1" customWidth="1"/>
    <col min="17" max="17" width="12.453125" style="1" bestFit="1" customWidth="1"/>
    <col min="18" max="18" width="8.953125" style="1" bestFit="1" customWidth="1"/>
  </cols>
  <sheetData>
    <row r="1" spans="1:18" s="3" customFormat="1" ht="88.5" x14ac:dyDescent="0.75">
      <c r="A1" s="4" t="s">
        <v>0</v>
      </c>
      <c r="B1" s="4" t="s">
        <v>1</v>
      </c>
      <c r="C1" s="4" t="s">
        <v>155</v>
      </c>
      <c r="D1" s="4" t="s">
        <v>2</v>
      </c>
      <c r="E1" s="5" t="s">
        <v>3</v>
      </c>
      <c r="F1" s="5" t="s">
        <v>4</v>
      </c>
      <c r="G1" s="5" t="s">
        <v>197</v>
      </c>
      <c r="H1" s="5" t="s">
        <v>198</v>
      </c>
      <c r="I1" s="4" t="s">
        <v>5</v>
      </c>
      <c r="J1" s="6" t="s">
        <v>6</v>
      </c>
      <c r="K1" s="6" t="s">
        <v>191</v>
      </c>
      <c r="L1" s="6" t="s">
        <v>192</v>
      </c>
      <c r="M1" s="6" t="s">
        <v>189</v>
      </c>
      <c r="N1" s="6" t="s">
        <v>193</v>
      </c>
      <c r="O1" s="6" t="s">
        <v>190</v>
      </c>
      <c r="P1" s="6" t="s">
        <v>194</v>
      </c>
      <c r="Q1" s="6" t="s">
        <v>195</v>
      </c>
      <c r="R1" s="6" t="s">
        <v>196</v>
      </c>
    </row>
    <row r="2" spans="1:18" x14ac:dyDescent="0.75">
      <c r="A2" s="7" t="s">
        <v>7</v>
      </c>
      <c r="B2" s="7" t="s">
        <v>8</v>
      </c>
      <c r="C2" s="7" t="s">
        <v>9</v>
      </c>
      <c r="D2" s="7" t="s">
        <v>10</v>
      </c>
      <c r="E2" s="8" t="s">
        <v>11</v>
      </c>
      <c r="F2" s="8">
        <v>1</v>
      </c>
      <c r="G2" s="8" t="s">
        <v>17</v>
      </c>
      <c r="H2" s="8">
        <v>1</v>
      </c>
      <c r="I2" s="7" t="s">
        <v>12</v>
      </c>
      <c r="J2" s="9">
        <v>0.111967185</v>
      </c>
      <c r="K2" s="10">
        <v>15</v>
      </c>
      <c r="L2" s="9">
        <v>0.25</v>
      </c>
      <c r="M2" s="9">
        <v>10</v>
      </c>
      <c r="N2" s="9">
        <f t="shared" ref="N2:N33" si="0">L2*M2</f>
        <v>2.5</v>
      </c>
      <c r="O2" s="9">
        <f t="shared" ref="O2:O33" si="1">N2/J2</f>
        <v>22.327970467418645</v>
      </c>
      <c r="P2" s="9">
        <f t="shared" ref="P2:P33" si="2">IF(O2&lt;K2,O2,K2)</f>
        <v>15</v>
      </c>
      <c r="Q2" s="9">
        <f t="shared" ref="Q2:Q33" si="3">P2*J2</f>
        <v>1.679507775</v>
      </c>
      <c r="R2" s="9">
        <f t="shared" ref="R2:R33" si="4">Q2/M2</f>
        <v>0.16795077750000001</v>
      </c>
    </row>
    <row r="3" spans="1:18" x14ac:dyDescent="0.75">
      <c r="A3" s="7" t="s">
        <v>7</v>
      </c>
      <c r="B3" s="7" t="s">
        <v>13</v>
      </c>
      <c r="C3" s="7" t="s">
        <v>9</v>
      </c>
      <c r="D3" s="7" t="s">
        <v>10</v>
      </c>
      <c r="E3" s="8" t="s">
        <v>14</v>
      </c>
      <c r="F3" s="8">
        <v>1</v>
      </c>
      <c r="G3" s="8" t="s">
        <v>71</v>
      </c>
      <c r="H3" s="8">
        <v>1</v>
      </c>
      <c r="I3" s="7" t="s">
        <v>15</v>
      </c>
      <c r="J3" s="9">
        <v>0.146992238</v>
      </c>
      <c r="K3" s="10">
        <v>15</v>
      </c>
      <c r="L3" s="9">
        <v>0.25</v>
      </c>
      <c r="M3" s="9">
        <v>10</v>
      </c>
      <c r="N3" s="9">
        <f t="shared" si="0"/>
        <v>2.5</v>
      </c>
      <c r="O3" s="9">
        <f t="shared" si="1"/>
        <v>17.007700773968761</v>
      </c>
      <c r="P3" s="9">
        <f t="shared" si="2"/>
        <v>15</v>
      </c>
      <c r="Q3" s="9">
        <f t="shared" si="3"/>
        <v>2.2048835699999998</v>
      </c>
      <c r="R3" s="9">
        <f t="shared" si="4"/>
        <v>0.22048835699999997</v>
      </c>
    </row>
    <row r="4" spans="1:18" x14ac:dyDescent="0.75">
      <c r="A4" s="7" t="s">
        <v>7</v>
      </c>
      <c r="B4" s="7" t="s">
        <v>16</v>
      </c>
      <c r="C4" s="7" t="s">
        <v>9</v>
      </c>
      <c r="D4" s="7" t="s">
        <v>10</v>
      </c>
      <c r="E4" s="8" t="s">
        <v>17</v>
      </c>
      <c r="F4" s="8">
        <v>7</v>
      </c>
      <c r="G4" s="8" t="s">
        <v>23</v>
      </c>
      <c r="H4" s="8">
        <v>1</v>
      </c>
      <c r="I4" s="7" t="s">
        <v>18</v>
      </c>
      <c r="J4" s="9">
        <v>0.15511694000000001</v>
      </c>
      <c r="K4" s="10">
        <v>15</v>
      </c>
      <c r="L4" s="9">
        <v>0.25</v>
      </c>
      <c r="M4" s="9">
        <v>10</v>
      </c>
      <c r="N4" s="9">
        <f t="shared" si="0"/>
        <v>2.5</v>
      </c>
      <c r="O4" s="9">
        <f t="shared" si="1"/>
        <v>16.116872857342337</v>
      </c>
      <c r="P4" s="9">
        <f t="shared" si="2"/>
        <v>15</v>
      </c>
      <c r="Q4" s="9">
        <f t="shared" si="3"/>
        <v>2.3267541</v>
      </c>
      <c r="R4" s="9">
        <f t="shared" si="4"/>
        <v>0.23267541</v>
      </c>
    </row>
    <row r="5" spans="1:18" x14ac:dyDescent="0.75">
      <c r="A5" s="7" t="s">
        <v>7</v>
      </c>
      <c r="B5" s="7" t="s">
        <v>19</v>
      </c>
      <c r="C5" s="7" t="s">
        <v>9</v>
      </c>
      <c r="D5" s="7" t="s">
        <v>10</v>
      </c>
      <c r="E5" s="8" t="s">
        <v>20</v>
      </c>
      <c r="F5" s="8">
        <v>4</v>
      </c>
      <c r="G5" s="8" t="s">
        <v>20</v>
      </c>
      <c r="H5" s="8">
        <v>1</v>
      </c>
      <c r="I5" s="7" t="s">
        <v>21</v>
      </c>
      <c r="J5" s="9">
        <v>7.5420702000000006E-2</v>
      </c>
      <c r="K5" s="10">
        <v>15</v>
      </c>
      <c r="L5" s="9">
        <v>0.25</v>
      </c>
      <c r="M5" s="9">
        <v>10</v>
      </c>
      <c r="N5" s="9">
        <f>L5*M5</f>
        <v>2.5</v>
      </c>
      <c r="O5" s="9">
        <f>N5/J5</f>
        <v>33.147397646868889</v>
      </c>
      <c r="P5" s="9">
        <f>IF(O5&lt;K5,O5,K5)</f>
        <v>15</v>
      </c>
      <c r="Q5" s="9">
        <f>P5*J5</f>
        <v>1.1313105300000001</v>
      </c>
      <c r="R5" s="9">
        <f>Q5/M5</f>
        <v>0.11313105300000001</v>
      </c>
    </row>
    <row r="6" spans="1:18" x14ac:dyDescent="0.75">
      <c r="A6" s="7" t="s">
        <v>7</v>
      </c>
      <c r="B6" s="7" t="s">
        <v>22</v>
      </c>
      <c r="C6" s="7" t="s">
        <v>9</v>
      </c>
      <c r="D6" s="7" t="s">
        <v>10</v>
      </c>
      <c r="E6" s="8" t="s">
        <v>23</v>
      </c>
      <c r="F6" s="8">
        <v>10</v>
      </c>
      <c r="G6" s="8" t="s">
        <v>14</v>
      </c>
      <c r="H6" s="8">
        <v>1</v>
      </c>
      <c r="I6" s="7" t="s">
        <v>24</v>
      </c>
      <c r="J6" s="9">
        <v>0.41048947600000002</v>
      </c>
      <c r="K6" s="10">
        <v>15</v>
      </c>
      <c r="L6" s="9">
        <v>0.25</v>
      </c>
      <c r="M6" s="9">
        <v>10</v>
      </c>
      <c r="N6" s="9">
        <f t="shared" si="0"/>
        <v>2.5</v>
      </c>
      <c r="O6" s="9">
        <f t="shared" si="1"/>
        <v>6.0902901198860455</v>
      </c>
      <c r="P6" s="9">
        <f t="shared" si="2"/>
        <v>6.0902901198860455</v>
      </c>
      <c r="Q6" s="9">
        <f t="shared" si="3"/>
        <v>2.5</v>
      </c>
      <c r="R6" s="9">
        <f t="shared" si="4"/>
        <v>0.25</v>
      </c>
    </row>
    <row r="7" spans="1:18" x14ac:dyDescent="0.75">
      <c r="A7" s="7" t="s">
        <v>7</v>
      </c>
      <c r="B7" s="7" t="s">
        <v>25</v>
      </c>
      <c r="C7" s="7" t="s">
        <v>9</v>
      </c>
      <c r="D7" s="7" t="s">
        <v>10</v>
      </c>
      <c r="E7" s="8" t="s">
        <v>26</v>
      </c>
      <c r="F7" s="8">
        <v>11</v>
      </c>
      <c r="G7" s="8" t="s">
        <v>11</v>
      </c>
      <c r="H7" s="8">
        <v>1</v>
      </c>
      <c r="I7" s="7" t="s">
        <v>27</v>
      </c>
      <c r="J7" s="9">
        <v>6.4041946000000002E-2</v>
      </c>
      <c r="K7" s="10">
        <v>15</v>
      </c>
      <c r="L7" s="9">
        <v>0.25</v>
      </c>
      <c r="M7" s="9">
        <v>10</v>
      </c>
      <c r="N7" s="9">
        <f t="shared" si="0"/>
        <v>2.5</v>
      </c>
      <c r="O7" s="9">
        <f t="shared" si="1"/>
        <v>39.036914961953215</v>
      </c>
      <c r="P7" s="9">
        <f t="shared" si="2"/>
        <v>15</v>
      </c>
      <c r="Q7" s="9">
        <f t="shared" si="3"/>
        <v>0.96062919000000002</v>
      </c>
      <c r="R7" s="9">
        <f t="shared" si="4"/>
        <v>9.6062918999999997E-2</v>
      </c>
    </row>
    <row r="8" spans="1:18" x14ac:dyDescent="0.75">
      <c r="A8" s="7" t="s">
        <v>7</v>
      </c>
      <c r="B8" s="7" t="s">
        <v>28</v>
      </c>
      <c r="C8" s="7" t="s">
        <v>9</v>
      </c>
      <c r="D8" s="7" t="s">
        <v>10</v>
      </c>
      <c r="E8" s="8" t="s">
        <v>26</v>
      </c>
      <c r="F8" s="8">
        <v>7</v>
      </c>
      <c r="G8" s="8" t="s">
        <v>33</v>
      </c>
      <c r="H8" s="8">
        <v>1</v>
      </c>
      <c r="I8" s="7" t="s">
        <v>29</v>
      </c>
      <c r="J8" s="9">
        <v>4.1299289000000003E-2</v>
      </c>
      <c r="K8" s="10">
        <v>15</v>
      </c>
      <c r="L8" s="9">
        <v>0.25</v>
      </c>
      <c r="M8" s="9">
        <v>10</v>
      </c>
      <c r="N8" s="9">
        <f t="shared" si="0"/>
        <v>2.5</v>
      </c>
      <c r="O8" s="9">
        <f t="shared" si="1"/>
        <v>60.533729769536706</v>
      </c>
      <c r="P8" s="9">
        <f t="shared" si="2"/>
        <v>15</v>
      </c>
      <c r="Q8" s="9">
        <f t="shared" si="3"/>
        <v>0.61948933500000003</v>
      </c>
      <c r="R8" s="9">
        <f t="shared" si="4"/>
        <v>6.1948933500000004E-2</v>
      </c>
    </row>
    <row r="9" spans="1:18" x14ac:dyDescent="0.75">
      <c r="A9" s="7" t="s">
        <v>7</v>
      </c>
      <c r="B9" s="7" t="s">
        <v>30</v>
      </c>
      <c r="C9" s="7" t="s">
        <v>9</v>
      </c>
      <c r="D9" s="7" t="s">
        <v>10</v>
      </c>
      <c r="E9" s="8" t="s">
        <v>23</v>
      </c>
      <c r="F9" s="8">
        <v>3</v>
      </c>
      <c r="G9" s="8" t="s">
        <v>26</v>
      </c>
      <c r="H9" s="8">
        <v>1</v>
      </c>
      <c r="I9" s="7" t="s">
        <v>31</v>
      </c>
      <c r="J9" s="9">
        <v>8.0900886000000005E-2</v>
      </c>
      <c r="K9" s="10">
        <v>15</v>
      </c>
      <c r="L9" s="9">
        <v>0.25</v>
      </c>
      <c r="M9" s="9">
        <v>10</v>
      </c>
      <c r="N9" s="9">
        <f t="shared" si="0"/>
        <v>2.5</v>
      </c>
      <c r="O9" s="9">
        <f t="shared" si="1"/>
        <v>30.902010146094071</v>
      </c>
      <c r="P9" s="9">
        <f t="shared" si="2"/>
        <v>15</v>
      </c>
      <c r="Q9" s="9">
        <f t="shared" si="3"/>
        <v>1.2135132900000001</v>
      </c>
      <c r="R9" s="9">
        <f t="shared" si="4"/>
        <v>0.12135132900000001</v>
      </c>
    </row>
    <row r="10" spans="1:18" x14ac:dyDescent="0.75">
      <c r="A10" s="7" t="s">
        <v>7</v>
      </c>
      <c r="B10" s="7" t="s">
        <v>32</v>
      </c>
      <c r="C10" s="7" t="s">
        <v>9</v>
      </c>
      <c r="D10" s="7" t="s">
        <v>10</v>
      </c>
      <c r="E10" s="8" t="s">
        <v>33</v>
      </c>
      <c r="F10" s="8">
        <v>1</v>
      </c>
      <c r="G10" s="8" t="s">
        <v>17</v>
      </c>
      <c r="H10" s="8">
        <v>2</v>
      </c>
      <c r="I10" s="7" t="s">
        <v>34</v>
      </c>
      <c r="J10" s="9">
        <v>0.37331788100000002</v>
      </c>
      <c r="K10" s="10">
        <v>15</v>
      </c>
      <c r="L10" s="9">
        <v>0.25</v>
      </c>
      <c r="M10" s="9">
        <v>10</v>
      </c>
      <c r="N10" s="9">
        <f t="shared" si="0"/>
        <v>2.5</v>
      </c>
      <c r="O10" s="9">
        <f t="shared" si="1"/>
        <v>6.6967057492753739</v>
      </c>
      <c r="P10" s="9">
        <f t="shared" si="2"/>
        <v>6.6967057492753739</v>
      </c>
      <c r="Q10" s="9">
        <f t="shared" si="3"/>
        <v>2.5</v>
      </c>
      <c r="R10" s="9">
        <f t="shared" si="4"/>
        <v>0.25</v>
      </c>
    </row>
    <row r="11" spans="1:18" x14ac:dyDescent="0.75">
      <c r="A11" s="7" t="s">
        <v>7</v>
      </c>
      <c r="B11" s="7" t="s">
        <v>35</v>
      </c>
      <c r="C11" s="7" t="s">
        <v>9</v>
      </c>
      <c r="D11" s="7" t="s">
        <v>10</v>
      </c>
      <c r="E11" s="8" t="s">
        <v>11</v>
      </c>
      <c r="F11" s="8">
        <v>9</v>
      </c>
      <c r="G11" s="8" t="s">
        <v>71</v>
      </c>
      <c r="H11" s="8">
        <v>2</v>
      </c>
      <c r="I11" s="7" t="s">
        <v>36</v>
      </c>
      <c r="J11" s="9">
        <v>0.41998344599999998</v>
      </c>
      <c r="K11" s="10">
        <v>15</v>
      </c>
      <c r="L11" s="9">
        <v>0.25</v>
      </c>
      <c r="M11" s="9">
        <v>10</v>
      </c>
      <c r="N11" s="9">
        <f t="shared" si="0"/>
        <v>2.5</v>
      </c>
      <c r="O11" s="9">
        <f t="shared" si="1"/>
        <v>5.9526155704717949</v>
      </c>
      <c r="P11" s="9">
        <f t="shared" si="2"/>
        <v>5.9526155704717949</v>
      </c>
      <c r="Q11" s="9">
        <f t="shared" si="3"/>
        <v>2.5</v>
      </c>
      <c r="R11" s="9">
        <f t="shared" si="4"/>
        <v>0.25</v>
      </c>
    </row>
    <row r="12" spans="1:18" x14ac:dyDescent="0.75">
      <c r="A12" s="7" t="s">
        <v>7</v>
      </c>
      <c r="B12" s="7" t="s">
        <v>37</v>
      </c>
      <c r="C12" s="7" t="s">
        <v>9</v>
      </c>
      <c r="D12" s="7" t="s">
        <v>10</v>
      </c>
      <c r="E12" s="8" t="s">
        <v>11</v>
      </c>
      <c r="F12" s="8">
        <v>2</v>
      </c>
      <c r="G12" s="8" t="s">
        <v>23</v>
      </c>
      <c r="H12" s="8">
        <v>2</v>
      </c>
      <c r="I12" s="7" t="s">
        <v>38</v>
      </c>
      <c r="J12" s="9">
        <v>0.54085449100000005</v>
      </c>
      <c r="K12" s="10">
        <v>15</v>
      </c>
      <c r="L12" s="9">
        <v>0.25</v>
      </c>
      <c r="M12" s="9">
        <v>10</v>
      </c>
      <c r="N12" s="9">
        <f t="shared" si="0"/>
        <v>2.5</v>
      </c>
      <c r="O12" s="9">
        <f t="shared" si="1"/>
        <v>4.6223153206654244</v>
      </c>
      <c r="P12" s="9">
        <f t="shared" si="2"/>
        <v>4.6223153206654244</v>
      </c>
      <c r="Q12" s="9">
        <f t="shared" si="3"/>
        <v>2.5</v>
      </c>
      <c r="R12" s="9">
        <f t="shared" si="4"/>
        <v>0.25</v>
      </c>
    </row>
    <row r="13" spans="1:18" x14ac:dyDescent="0.75">
      <c r="A13" s="7" t="s">
        <v>7</v>
      </c>
      <c r="B13" s="7" t="s">
        <v>39</v>
      </c>
      <c r="C13" s="7" t="s">
        <v>9</v>
      </c>
      <c r="D13" s="7" t="s">
        <v>10</v>
      </c>
      <c r="E13" s="8" t="s">
        <v>14</v>
      </c>
      <c r="F13" s="8">
        <v>8</v>
      </c>
      <c r="G13" s="8" t="s">
        <v>14</v>
      </c>
      <c r="H13" s="8">
        <v>2</v>
      </c>
      <c r="I13" s="7" t="s">
        <v>40</v>
      </c>
      <c r="J13" s="9">
        <v>7.8858040000000004E-2</v>
      </c>
      <c r="K13" s="10">
        <v>15</v>
      </c>
      <c r="L13" s="9">
        <v>0.25</v>
      </c>
      <c r="M13" s="9">
        <v>10</v>
      </c>
      <c r="N13" s="9">
        <f t="shared" si="0"/>
        <v>2.5</v>
      </c>
      <c r="O13" s="9">
        <f t="shared" si="1"/>
        <v>31.702537876924151</v>
      </c>
      <c r="P13" s="9">
        <f t="shared" si="2"/>
        <v>15</v>
      </c>
      <c r="Q13" s="9">
        <f t="shared" si="3"/>
        <v>1.1828706</v>
      </c>
      <c r="R13" s="9">
        <f t="shared" si="4"/>
        <v>0.11828706</v>
      </c>
    </row>
    <row r="14" spans="1:18" x14ac:dyDescent="0.75">
      <c r="A14" s="7" t="s">
        <v>7</v>
      </c>
      <c r="B14" s="7" t="s">
        <v>41</v>
      </c>
      <c r="C14" s="7" t="s">
        <v>9</v>
      </c>
      <c r="D14" s="7" t="s">
        <v>10</v>
      </c>
      <c r="E14" s="8" t="s">
        <v>14</v>
      </c>
      <c r="F14" s="8">
        <v>2</v>
      </c>
      <c r="G14" s="8" t="s">
        <v>11</v>
      </c>
      <c r="H14" s="8">
        <v>2</v>
      </c>
      <c r="I14" s="7" t="s">
        <v>42</v>
      </c>
      <c r="J14" s="9">
        <v>0.48919945100000001</v>
      </c>
      <c r="K14" s="10">
        <v>15</v>
      </c>
      <c r="L14" s="9">
        <v>0.25</v>
      </c>
      <c r="M14" s="9">
        <v>10</v>
      </c>
      <c r="N14" s="9">
        <f t="shared" si="0"/>
        <v>2.5</v>
      </c>
      <c r="O14" s="9">
        <f t="shared" si="1"/>
        <v>5.1103900359855476</v>
      </c>
      <c r="P14" s="9">
        <f t="shared" si="2"/>
        <v>5.1103900359855476</v>
      </c>
      <c r="Q14" s="9">
        <f t="shared" si="3"/>
        <v>2.5</v>
      </c>
      <c r="R14" s="9">
        <f t="shared" si="4"/>
        <v>0.25</v>
      </c>
    </row>
    <row r="15" spans="1:18" x14ac:dyDescent="0.75">
      <c r="A15" s="7" t="s">
        <v>7</v>
      </c>
      <c r="B15" s="7" t="s">
        <v>43</v>
      </c>
      <c r="C15" s="7" t="s">
        <v>44</v>
      </c>
      <c r="D15" s="7" t="s">
        <v>10</v>
      </c>
      <c r="E15" s="8" t="s">
        <v>14</v>
      </c>
      <c r="F15" s="8">
        <v>5</v>
      </c>
      <c r="G15" s="8" t="s">
        <v>33</v>
      </c>
      <c r="H15" s="8">
        <v>2</v>
      </c>
      <c r="I15" s="7" t="s">
        <v>45</v>
      </c>
      <c r="J15" s="9">
        <v>1.9407611000000002E-2</v>
      </c>
      <c r="K15" s="10">
        <v>15</v>
      </c>
      <c r="L15" s="9">
        <v>0.25</v>
      </c>
      <c r="M15" s="9">
        <v>10</v>
      </c>
      <c r="N15" s="9">
        <f t="shared" si="0"/>
        <v>2.5</v>
      </c>
      <c r="O15" s="9">
        <f t="shared" si="1"/>
        <v>128.81544256013785</v>
      </c>
      <c r="P15" s="9">
        <f t="shared" si="2"/>
        <v>15</v>
      </c>
      <c r="Q15" s="9">
        <f t="shared" si="3"/>
        <v>0.29111416500000004</v>
      </c>
      <c r="R15" s="9">
        <f t="shared" si="4"/>
        <v>2.9111416500000004E-2</v>
      </c>
    </row>
    <row r="16" spans="1:18" x14ac:dyDescent="0.75">
      <c r="A16" s="7" t="s">
        <v>7</v>
      </c>
      <c r="B16" s="7" t="s">
        <v>46</v>
      </c>
      <c r="C16" s="7" t="s">
        <v>44</v>
      </c>
      <c r="D16" s="7" t="s">
        <v>47</v>
      </c>
      <c r="E16" s="8" t="s">
        <v>20</v>
      </c>
      <c r="F16" s="8">
        <v>3</v>
      </c>
      <c r="G16" s="8" t="s">
        <v>26</v>
      </c>
      <c r="H16" s="8">
        <v>2</v>
      </c>
      <c r="I16" s="7" t="s">
        <v>48</v>
      </c>
      <c r="J16" s="9">
        <v>1.7357727E-2</v>
      </c>
      <c r="K16" s="10">
        <v>15</v>
      </c>
      <c r="L16" s="9">
        <v>0.25</v>
      </c>
      <c r="M16" s="9">
        <v>10</v>
      </c>
      <c r="N16" s="9">
        <f t="shared" si="0"/>
        <v>2.5</v>
      </c>
      <c r="O16" s="9">
        <f t="shared" si="1"/>
        <v>144.02807464364429</v>
      </c>
      <c r="P16" s="9">
        <f t="shared" si="2"/>
        <v>15</v>
      </c>
      <c r="Q16" s="9">
        <f t="shared" si="3"/>
        <v>0.26036590500000001</v>
      </c>
      <c r="R16" s="9">
        <f t="shared" si="4"/>
        <v>2.6036590500000002E-2</v>
      </c>
    </row>
    <row r="17" spans="1:18" x14ac:dyDescent="0.75">
      <c r="A17" s="7" t="s">
        <v>7</v>
      </c>
      <c r="B17" s="7" t="s">
        <v>49</v>
      </c>
      <c r="C17" s="7" t="s">
        <v>9</v>
      </c>
      <c r="D17" s="7" t="s">
        <v>50</v>
      </c>
      <c r="E17" s="8" t="s">
        <v>14</v>
      </c>
      <c r="F17" s="8">
        <v>7</v>
      </c>
      <c r="G17" s="8" t="s">
        <v>17</v>
      </c>
      <c r="H17" s="8">
        <v>3</v>
      </c>
      <c r="I17" s="7" t="s">
        <v>51</v>
      </c>
      <c r="J17" s="9">
        <v>0.39906339200000002</v>
      </c>
      <c r="K17" s="10">
        <v>15</v>
      </c>
      <c r="L17" s="9">
        <v>0.25</v>
      </c>
      <c r="M17" s="9">
        <v>10</v>
      </c>
      <c r="N17" s="9">
        <f t="shared" si="0"/>
        <v>2.5</v>
      </c>
      <c r="O17" s="9">
        <f t="shared" si="1"/>
        <v>6.2646688473995624</v>
      </c>
      <c r="P17" s="9">
        <f t="shared" si="2"/>
        <v>6.2646688473995624</v>
      </c>
      <c r="Q17" s="9">
        <f t="shared" si="3"/>
        <v>2.5</v>
      </c>
      <c r="R17" s="9">
        <f t="shared" si="4"/>
        <v>0.25</v>
      </c>
    </row>
    <row r="18" spans="1:18" x14ac:dyDescent="0.75">
      <c r="A18" s="7" t="s">
        <v>7</v>
      </c>
      <c r="B18" s="7" t="s">
        <v>52</v>
      </c>
      <c r="C18" s="7" t="s">
        <v>9</v>
      </c>
      <c r="D18" s="7" t="s">
        <v>53</v>
      </c>
      <c r="E18" s="8" t="s">
        <v>20</v>
      </c>
      <c r="F18" s="8">
        <v>2</v>
      </c>
      <c r="G18" s="8" t="s">
        <v>71</v>
      </c>
      <c r="H18" s="8">
        <v>3</v>
      </c>
      <c r="I18" s="7" t="s">
        <v>54</v>
      </c>
      <c r="J18" s="9">
        <v>9.1340088999999999E-2</v>
      </c>
      <c r="K18" s="10">
        <v>15</v>
      </c>
      <c r="L18" s="9">
        <v>0.25</v>
      </c>
      <c r="M18" s="9">
        <v>10</v>
      </c>
      <c r="N18" s="9">
        <f t="shared" si="0"/>
        <v>2.5</v>
      </c>
      <c r="O18" s="9">
        <f t="shared" si="1"/>
        <v>27.370238275112694</v>
      </c>
      <c r="P18" s="9">
        <f t="shared" si="2"/>
        <v>15</v>
      </c>
      <c r="Q18" s="9">
        <f t="shared" si="3"/>
        <v>1.370101335</v>
      </c>
      <c r="R18" s="9">
        <f t="shared" si="4"/>
        <v>0.13701013349999999</v>
      </c>
    </row>
    <row r="19" spans="1:18" x14ac:dyDescent="0.75">
      <c r="A19" s="7" t="s">
        <v>7</v>
      </c>
      <c r="B19" s="7" t="s">
        <v>55</v>
      </c>
      <c r="C19" s="7" t="s">
        <v>9</v>
      </c>
      <c r="D19" s="7" t="s">
        <v>50</v>
      </c>
      <c r="E19" s="8" t="s">
        <v>17</v>
      </c>
      <c r="F19" s="8">
        <v>3</v>
      </c>
      <c r="G19" s="8" t="s">
        <v>23</v>
      </c>
      <c r="H19" s="8">
        <v>3</v>
      </c>
      <c r="I19" s="7" t="s">
        <v>56</v>
      </c>
      <c r="J19" s="9">
        <v>0.144709797</v>
      </c>
      <c r="K19" s="10">
        <v>15</v>
      </c>
      <c r="L19" s="9">
        <v>0.25</v>
      </c>
      <c r="M19" s="9">
        <v>10</v>
      </c>
      <c r="N19" s="9">
        <f t="shared" si="0"/>
        <v>2.5</v>
      </c>
      <c r="O19" s="9">
        <f t="shared" si="1"/>
        <v>17.275955407497392</v>
      </c>
      <c r="P19" s="9">
        <f t="shared" si="2"/>
        <v>15</v>
      </c>
      <c r="Q19" s="9">
        <f t="shared" si="3"/>
        <v>2.170646955</v>
      </c>
      <c r="R19" s="9">
        <f t="shared" si="4"/>
        <v>0.21706469550000002</v>
      </c>
    </row>
    <row r="20" spans="1:18" x14ac:dyDescent="0.75">
      <c r="A20" s="7" t="s">
        <v>7</v>
      </c>
      <c r="B20" s="7" t="s">
        <v>57</v>
      </c>
      <c r="C20" s="7" t="s">
        <v>9</v>
      </c>
      <c r="D20" s="7" t="s">
        <v>50</v>
      </c>
      <c r="E20" s="8" t="s">
        <v>26</v>
      </c>
      <c r="F20" s="8">
        <v>8</v>
      </c>
      <c r="G20" s="8" t="s">
        <v>20</v>
      </c>
      <c r="H20" s="8">
        <v>3</v>
      </c>
      <c r="I20" s="7" t="s">
        <v>58</v>
      </c>
      <c r="J20" s="9">
        <v>0.45730944299999998</v>
      </c>
      <c r="K20" s="10">
        <v>15</v>
      </c>
      <c r="L20" s="9">
        <v>0.25</v>
      </c>
      <c r="M20" s="9">
        <v>10</v>
      </c>
      <c r="N20" s="9">
        <f t="shared" si="0"/>
        <v>2.5</v>
      </c>
      <c r="O20" s="9">
        <f t="shared" si="1"/>
        <v>5.466757877553821</v>
      </c>
      <c r="P20" s="9">
        <f t="shared" si="2"/>
        <v>5.466757877553821</v>
      </c>
      <c r="Q20" s="9">
        <f t="shared" si="3"/>
        <v>2.5</v>
      </c>
      <c r="R20" s="9">
        <f t="shared" si="4"/>
        <v>0.25</v>
      </c>
    </row>
    <row r="21" spans="1:18" x14ac:dyDescent="0.75">
      <c r="A21" s="7" t="s">
        <v>7</v>
      </c>
      <c r="B21" s="7" t="s">
        <v>59</v>
      </c>
      <c r="C21" s="7" t="s">
        <v>9</v>
      </c>
      <c r="D21" s="7" t="s">
        <v>53</v>
      </c>
      <c r="E21" s="8" t="s">
        <v>26</v>
      </c>
      <c r="F21" s="8">
        <v>10</v>
      </c>
      <c r="G21" s="8" t="s">
        <v>14</v>
      </c>
      <c r="H21" s="8">
        <v>3</v>
      </c>
      <c r="I21" s="7" t="s">
        <v>60</v>
      </c>
      <c r="J21" s="9">
        <v>7.8024336E-2</v>
      </c>
      <c r="K21" s="10">
        <v>15</v>
      </c>
      <c r="L21" s="9">
        <v>0.25</v>
      </c>
      <c r="M21" s="9">
        <v>10</v>
      </c>
      <c r="N21" s="9">
        <f t="shared" si="0"/>
        <v>2.5</v>
      </c>
      <c r="O21" s="9">
        <f t="shared" si="1"/>
        <v>32.041285170308917</v>
      </c>
      <c r="P21" s="9">
        <f t="shared" si="2"/>
        <v>15</v>
      </c>
      <c r="Q21" s="9">
        <f t="shared" si="3"/>
        <v>1.1703650400000001</v>
      </c>
      <c r="R21" s="9">
        <f t="shared" si="4"/>
        <v>0.11703650400000001</v>
      </c>
    </row>
    <row r="22" spans="1:18" x14ac:dyDescent="0.75">
      <c r="A22" s="7" t="s">
        <v>7</v>
      </c>
      <c r="B22" s="7" t="s">
        <v>61</v>
      </c>
      <c r="C22" s="7" t="s">
        <v>9</v>
      </c>
      <c r="D22" s="7" t="s">
        <v>53</v>
      </c>
      <c r="E22" s="8" t="s">
        <v>20</v>
      </c>
      <c r="F22" s="8">
        <v>1</v>
      </c>
      <c r="G22" s="8" t="s">
        <v>11</v>
      </c>
      <c r="H22" s="8">
        <v>3</v>
      </c>
      <c r="I22" s="7" t="s">
        <v>62</v>
      </c>
      <c r="J22" s="9">
        <v>0.13873068399999999</v>
      </c>
      <c r="K22" s="10">
        <v>15</v>
      </c>
      <c r="L22" s="9">
        <v>0.25</v>
      </c>
      <c r="M22" s="9">
        <v>10</v>
      </c>
      <c r="N22" s="9">
        <f t="shared" si="0"/>
        <v>2.5</v>
      </c>
      <c r="O22" s="9">
        <f t="shared" si="1"/>
        <v>18.020526735094883</v>
      </c>
      <c r="P22" s="9">
        <f t="shared" si="2"/>
        <v>15</v>
      </c>
      <c r="Q22" s="9">
        <f t="shared" si="3"/>
        <v>2.0809602599999999</v>
      </c>
      <c r="R22" s="9">
        <f t="shared" si="4"/>
        <v>0.20809602599999999</v>
      </c>
    </row>
    <row r="23" spans="1:18" x14ac:dyDescent="0.75">
      <c r="A23" s="7" t="s">
        <v>7</v>
      </c>
      <c r="B23" s="7" t="s">
        <v>63</v>
      </c>
      <c r="C23" s="7" t="s">
        <v>9</v>
      </c>
      <c r="D23" s="7" t="s">
        <v>53</v>
      </c>
      <c r="E23" s="8" t="s">
        <v>33</v>
      </c>
      <c r="F23" s="8">
        <v>8</v>
      </c>
      <c r="G23" s="8" t="s">
        <v>33</v>
      </c>
      <c r="H23" s="8">
        <v>3</v>
      </c>
      <c r="I23" s="7" t="s">
        <v>64</v>
      </c>
      <c r="J23" s="9">
        <v>7.1803684000000007E-2</v>
      </c>
      <c r="K23" s="10">
        <v>15</v>
      </c>
      <c r="L23" s="9">
        <v>0.25</v>
      </c>
      <c r="M23" s="9">
        <v>10</v>
      </c>
      <c r="N23" s="9">
        <f t="shared" si="0"/>
        <v>2.5</v>
      </c>
      <c r="O23" s="9">
        <f t="shared" si="1"/>
        <v>34.817155064077213</v>
      </c>
      <c r="P23" s="9">
        <f t="shared" si="2"/>
        <v>15</v>
      </c>
      <c r="Q23" s="9">
        <f t="shared" si="3"/>
        <v>1.0770552600000001</v>
      </c>
      <c r="R23" s="9">
        <f t="shared" si="4"/>
        <v>0.10770552600000001</v>
      </c>
    </row>
    <row r="24" spans="1:18" x14ac:dyDescent="0.75">
      <c r="A24" s="7" t="s">
        <v>7</v>
      </c>
      <c r="B24" s="7" t="s">
        <v>65</v>
      </c>
      <c r="C24" s="7" t="s">
        <v>9</v>
      </c>
      <c r="D24" s="7" t="s">
        <v>53</v>
      </c>
      <c r="E24" s="8" t="s">
        <v>17</v>
      </c>
      <c r="F24" s="8">
        <v>8</v>
      </c>
      <c r="G24" s="8" t="s">
        <v>26</v>
      </c>
      <c r="H24" s="8">
        <v>3</v>
      </c>
      <c r="I24" s="7" t="s">
        <v>66</v>
      </c>
      <c r="J24" s="9">
        <v>4.9747528999999999E-2</v>
      </c>
      <c r="K24" s="10">
        <v>15</v>
      </c>
      <c r="L24" s="9">
        <v>0.25</v>
      </c>
      <c r="M24" s="9">
        <v>10</v>
      </c>
      <c r="N24" s="9">
        <f t="shared" si="0"/>
        <v>2.5</v>
      </c>
      <c r="O24" s="9">
        <f t="shared" si="1"/>
        <v>50.253752301948509</v>
      </c>
      <c r="P24" s="9">
        <f t="shared" si="2"/>
        <v>15</v>
      </c>
      <c r="Q24" s="9">
        <f t="shared" si="3"/>
        <v>0.74621293499999997</v>
      </c>
      <c r="R24" s="9">
        <f t="shared" si="4"/>
        <v>7.4621293499999991E-2</v>
      </c>
    </row>
    <row r="25" spans="1:18" x14ac:dyDescent="0.75">
      <c r="A25" s="7" t="s">
        <v>7</v>
      </c>
      <c r="B25" s="7" t="s">
        <v>67</v>
      </c>
      <c r="C25" s="7" t="s">
        <v>44</v>
      </c>
      <c r="D25" s="7" t="s">
        <v>47</v>
      </c>
      <c r="E25" s="8" t="s">
        <v>17</v>
      </c>
      <c r="F25" s="8">
        <v>1</v>
      </c>
      <c r="G25" s="8" t="s">
        <v>17</v>
      </c>
      <c r="H25" s="8">
        <v>4</v>
      </c>
      <c r="I25" s="7" t="s">
        <v>48</v>
      </c>
      <c r="J25" s="9">
        <v>4.0607135000000003E-2</v>
      </c>
      <c r="K25" s="10">
        <v>15</v>
      </c>
      <c r="L25" s="9">
        <v>0.25</v>
      </c>
      <c r="M25" s="9">
        <v>10</v>
      </c>
      <c r="N25" s="9">
        <f t="shared" si="0"/>
        <v>2.5</v>
      </c>
      <c r="O25" s="9">
        <f t="shared" si="1"/>
        <v>61.565535219364769</v>
      </c>
      <c r="P25" s="9">
        <f t="shared" si="2"/>
        <v>15</v>
      </c>
      <c r="Q25" s="9">
        <f t="shared" si="3"/>
        <v>0.60910702500000002</v>
      </c>
      <c r="R25" s="9">
        <f t="shared" si="4"/>
        <v>6.0910702500000004E-2</v>
      </c>
    </row>
    <row r="26" spans="1:18" x14ac:dyDescent="0.75">
      <c r="A26" s="7" t="s">
        <v>7</v>
      </c>
      <c r="B26" s="7" t="s">
        <v>68</v>
      </c>
      <c r="C26" s="7" t="s">
        <v>9</v>
      </c>
      <c r="D26" s="7" t="s">
        <v>50</v>
      </c>
      <c r="E26" s="8" t="s">
        <v>26</v>
      </c>
      <c r="F26" s="8">
        <v>2</v>
      </c>
      <c r="G26" s="8" t="s">
        <v>71</v>
      </c>
      <c r="H26" s="8">
        <v>4</v>
      </c>
      <c r="I26" s="7" t="s">
        <v>69</v>
      </c>
      <c r="J26" s="9">
        <v>0.28514014100000001</v>
      </c>
      <c r="K26" s="10">
        <v>15</v>
      </c>
      <c r="L26" s="9">
        <v>0.25</v>
      </c>
      <c r="M26" s="9">
        <v>10</v>
      </c>
      <c r="N26" s="9">
        <f t="shared" si="0"/>
        <v>2.5</v>
      </c>
      <c r="O26" s="9">
        <f t="shared" si="1"/>
        <v>8.7676185865391716</v>
      </c>
      <c r="P26" s="9">
        <f t="shared" si="2"/>
        <v>8.7676185865391716</v>
      </c>
      <c r="Q26" s="9">
        <f t="shared" si="3"/>
        <v>2.5</v>
      </c>
      <c r="R26" s="9">
        <f t="shared" si="4"/>
        <v>0.25</v>
      </c>
    </row>
    <row r="27" spans="1:18" x14ac:dyDescent="0.75">
      <c r="A27" s="7" t="s">
        <v>7</v>
      </c>
      <c r="B27" s="7" t="s">
        <v>70</v>
      </c>
      <c r="C27" s="7" t="s">
        <v>9</v>
      </c>
      <c r="D27" s="7" t="s">
        <v>50</v>
      </c>
      <c r="E27" s="8" t="s">
        <v>71</v>
      </c>
      <c r="F27" s="8">
        <v>7</v>
      </c>
      <c r="G27" s="8" t="s">
        <v>23</v>
      </c>
      <c r="H27" s="8">
        <v>4</v>
      </c>
      <c r="I27" s="7" t="s">
        <v>72</v>
      </c>
      <c r="J27" s="9">
        <v>0.436762822</v>
      </c>
      <c r="K27" s="10">
        <v>15</v>
      </c>
      <c r="L27" s="9">
        <v>0.25</v>
      </c>
      <c r="M27" s="9">
        <v>10</v>
      </c>
      <c r="N27" s="9">
        <f t="shared" si="0"/>
        <v>2.5</v>
      </c>
      <c r="O27" s="9">
        <f t="shared" si="1"/>
        <v>5.7239304127401214</v>
      </c>
      <c r="P27" s="9">
        <f t="shared" si="2"/>
        <v>5.7239304127401214</v>
      </c>
      <c r="Q27" s="9">
        <f t="shared" si="3"/>
        <v>2.5</v>
      </c>
      <c r="R27" s="9">
        <f t="shared" si="4"/>
        <v>0.25</v>
      </c>
    </row>
    <row r="28" spans="1:18" x14ac:dyDescent="0.75">
      <c r="A28" s="7" t="s">
        <v>7</v>
      </c>
      <c r="B28" s="7" t="s">
        <v>73</v>
      </c>
      <c r="C28" s="7" t="s">
        <v>9</v>
      </c>
      <c r="D28" s="7" t="s">
        <v>53</v>
      </c>
      <c r="E28" s="8" t="s">
        <v>23</v>
      </c>
      <c r="F28" s="8">
        <v>2</v>
      </c>
      <c r="G28" s="8" t="s">
        <v>20</v>
      </c>
      <c r="H28" s="8">
        <v>4</v>
      </c>
      <c r="I28" s="7" t="s">
        <v>74</v>
      </c>
      <c r="J28" s="9">
        <v>7.4428860999999999E-2</v>
      </c>
      <c r="K28" s="10">
        <v>15</v>
      </c>
      <c r="L28" s="9">
        <v>0.25</v>
      </c>
      <c r="M28" s="9">
        <v>10</v>
      </c>
      <c r="N28" s="9">
        <f t="shared" si="0"/>
        <v>2.5</v>
      </c>
      <c r="O28" s="9">
        <f t="shared" si="1"/>
        <v>33.589120757873751</v>
      </c>
      <c r="P28" s="9">
        <f t="shared" si="2"/>
        <v>15</v>
      </c>
      <c r="Q28" s="9">
        <f t="shared" si="3"/>
        <v>1.1164329150000001</v>
      </c>
      <c r="R28" s="9">
        <f t="shared" si="4"/>
        <v>0.11164329150000001</v>
      </c>
    </row>
    <row r="29" spans="1:18" x14ac:dyDescent="0.75">
      <c r="A29" s="7" t="s">
        <v>7</v>
      </c>
      <c r="B29" s="7" t="s">
        <v>75</v>
      </c>
      <c r="C29" s="7" t="s">
        <v>44</v>
      </c>
      <c r="D29" s="7" t="s">
        <v>50</v>
      </c>
      <c r="E29" s="8" t="s">
        <v>20</v>
      </c>
      <c r="F29" s="8">
        <v>9</v>
      </c>
      <c r="G29" s="8" t="s">
        <v>11</v>
      </c>
      <c r="H29" s="8">
        <v>4</v>
      </c>
      <c r="I29" s="7" t="s">
        <v>76</v>
      </c>
      <c r="J29" s="9">
        <v>4.8891071000000001E-2</v>
      </c>
      <c r="K29" s="10">
        <v>15</v>
      </c>
      <c r="L29" s="9">
        <v>0.25</v>
      </c>
      <c r="M29" s="9">
        <v>10</v>
      </c>
      <c r="N29" s="9">
        <f t="shared" si="0"/>
        <v>2.5</v>
      </c>
      <c r="O29" s="9">
        <f t="shared" si="1"/>
        <v>51.134081313129755</v>
      </c>
      <c r="P29" s="9">
        <f t="shared" si="2"/>
        <v>15</v>
      </c>
      <c r="Q29" s="9">
        <f t="shared" si="3"/>
        <v>0.73336606500000001</v>
      </c>
      <c r="R29" s="9">
        <f t="shared" si="4"/>
        <v>7.3336606499999998E-2</v>
      </c>
    </row>
    <row r="30" spans="1:18" x14ac:dyDescent="0.75">
      <c r="A30" s="7" t="s">
        <v>7</v>
      </c>
      <c r="B30" s="7" t="s">
        <v>77</v>
      </c>
      <c r="C30" s="7" t="s">
        <v>9</v>
      </c>
      <c r="D30" s="7" t="s">
        <v>50</v>
      </c>
      <c r="E30" s="8" t="s">
        <v>23</v>
      </c>
      <c r="F30" s="8">
        <v>8</v>
      </c>
      <c r="G30" s="8" t="s">
        <v>33</v>
      </c>
      <c r="H30" s="8">
        <v>4</v>
      </c>
      <c r="I30" s="7" t="s">
        <v>78</v>
      </c>
      <c r="J30" s="9">
        <v>0.276154856</v>
      </c>
      <c r="K30" s="10">
        <v>15</v>
      </c>
      <c r="L30" s="9">
        <v>0.25</v>
      </c>
      <c r="M30" s="9">
        <v>10</v>
      </c>
      <c r="N30" s="9">
        <f t="shared" si="0"/>
        <v>2.5</v>
      </c>
      <c r="O30" s="9">
        <f t="shared" si="1"/>
        <v>9.0528916862501241</v>
      </c>
      <c r="P30" s="9">
        <f t="shared" si="2"/>
        <v>9.0528916862501241</v>
      </c>
      <c r="Q30" s="9">
        <f t="shared" si="3"/>
        <v>2.5000000000000004</v>
      </c>
      <c r="R30" s="9">
        <f t="shared" si="4"/>
        <v>0.25000000000000006</v>
      </c>
    </row>
    <row r="31" spans="1:18" x14ac:dyDescent="0.75">
      <c r="A31" s="7" t="s">
        <v>7</v>
      </c>
      <c r="B31" s="7" t="s">
        <v>79</v>
      </c>
      <c r="C31" s="7" t="s">
        <v>9</v>
      </c>
      <c r="D31" s="7" t="s">
        <v>50</v>
      </c>
      <c r="E31" s="8" t="s">
        <v>26</v>
      </c>
      <c r="F31" s="8">
        <v>4</v>
      </c>
      <c r="G31" s="8" t="s">
        <v>26</v>
      </c>
      <c r="H31" s="8">
        <v>4</v>
      </c>
      <c r="I31" s="7" t="s">
        <v>80</v>
      </c>
      <c r="J31" s="9">
        <v>0.37032288299999999</v>
      </c>
      <c r="K31" s="10">
        <v>15</v>
      </c>
      <c r="L31" s="9">
        <v>0.25</v>
      </c>
      <c r="M31" s="9">
        <v>10</v>
      </c>
      <c r="N31" s="9">
        <f t="shared" si="0"/>
        <v>2.5</v>
      </c>
      <c r="O31" s="9">
        <f t="shared" si="1"/>
        <v>6.7508655683046195</v>
      </c>
      <c r="P31" s="9">
        <f t="shared" si="2"/>
        <v>6.7508655683046195</v>
      </c>
      <c r="Q31" s="9">
        <f t="shared" si="3"/>
        <v>2.5</v>
      </c>
      <c r="R31" s="9">
        <f t="shared" si="4"/>
        <v>0.25</v>
      </c>
    </row>
    <row r="32" spans="1:18" x14ac:dyDescent="0.75">
      <c r="A32" s="7" t="s">
        <v>7</v>
      </c>
      <c r="B32" s="7" t="s">
        <v>81</v>
      </c>
      <c r="C32" s="7" t="s">
        <v>9</v>
      </c>
      <c r="D32" s="7" t="s">
        <v>53</v>
      </c>
      <c r="E32" s="8" t="s">
        <v>20</v>
      </c>
      <c r="F32" s="8">
        <v>8</v>
      </c>
      <c r="G32" s="8" t="s">
        <v>17</v>
      </c>
      <c r="H32" s="8">
        <v>5</v>
      </c>
      <c r="I32" s="7" t="s">
        <v>82</v>
      </c>
      <c r="J32" s="9">
        <v>8.5283949999999997E-2</v>
      </c>
      <c r="K32" s="10">
        <v>15</v>
      </c>
      <c r="L32" s="9">
        <v>0.25</v>
      </c>
      <c r="M32" s="9">
        <v>10</v>
      </c>
      <c r="N32" s="9">
        <f t="shared" si="0"/>
        <v>2.5</v>
      </c>
      <c r="O32" s="9">
        <f t="shared" si="1"/>
        <v>29.313839239387953</v>
      </c>
      <c r="P32" s="9">
        <f t="shared" si="2"/>
        <v>15</v>
      </c>
      <c r="Q32" s="9">
        <f t="shared" si="3"/>
        <v>1.27925925</v>
      </c>
      <c r="R32" s="9">
        <f t="shared" si="4"/>
        <v>0.127925925</v>
      </c>
    </row>
    <row r="33" spans="1:18" x14ac:dyDescent="0.75">
      <c r="A33" s="7" t="s">
        <v>7</v>
      </c>
      <c r="B33" s="7" t="s">
        <v>83</v>
      </c>
      <c r="C33" s="7" t="s">
        <v>9</v>
      </c>
      <c r="D33" s="7" t="s">
        <v>50</v>
      </c>
      <c r="E33" s="8" t="s">
        <v>17</v>
      </c>
      <c r="F33" s="8">
        <v>12</v>
      </c>
      <c r="G33" s="8" t="s">
        <v>71</v>
      </c>
      <c r="H33" s="8">
        <v>5</v>
      </c>
      <c r="I33" s="7" t="s">
        <v>84</v>
      </c>
      <c r="J33" s="9">
        <v>0.61326692400000005</v>
      </c>
      <c r="K33" s="10">
        <v>15</v>
      </c>
      <c r="L33" s="9">
        <v>0.25</v>
      </c>
      <c r="M33" s="9">
        <v>10</v>
      </c>
      <c r="N33" s="9">
        <f t="shared" si="0"/>
        <v>2.5</v>
      </c>
      <c r="O33" s="9">
        <f t="shared" si="1"/>
        <v>4.0765283470595257</v>
      </c>
      <c r="P33" s="9">
        <f t="shared" si="2"/>
        <v>4.0765283470595257</v>
      </c>
      <c r="Q33" s="9">
        <f t="shared" si="3"/>
        <v>2.5</v>
      </c>
      <c r="R33" s="9">
        <f t="shared" si="4"/>
        <v>0.25</v>
      </c>
    </row>
    <row r="34" spans="1:18" x14ac:dyDescent="0.75">
      <c r="A34" s="7" t="s">
        <v>7</v>
      </c>
      <c r="B34" s="7" t="s">
        <v>85</v>
      </c>
      <c r="C34" s="7" t="s">
        <v>9</v>
      </c>
      <c r="D34" s="7" t="s">
        <v>53</v>
      </c>
      <c r="E34" s="8" t="s">
        <v>14</v>
      </c>
      <c r="F34" s="8">
        <v>4</v>
      </c>
      <c r="G34" s="8" t="s">
        <v>23</v>
      </c>
      <c r="H34" s="8">
        <v>5</v>
      </c>
      <c r="I34" s="7" t="s">
        <v>86</v>
      </c>
      <c r="J34" s="9">
        <v>6.9987299000000003E-2</v>
      </c>
      <c r="K34" s="10">
        <v>15</v>
      </c>
      <c r="L34" s="9">
        <v>0.25</v>
      </c>
      <c r="M34" s="9">
        <v>10</v>
      </c>
      <c r="N34" s="9">
        <f t="shared" ref="N34:N65" si="5">L34*M34</f>
        <v>2.5</v>
      </c>
      <c r="O34" s="9">
        <f t="shared" ref="O34:O65" si="6">N34/J34</f>
        <v>35.720766992308128</v>
      </c>
      <c r="P34" s="9">
        <f t="shared" ref="P34:P65" si="7">IF(O34&lt;K34,O34,K34)</f>
        <v>15</v>
      </c>
      <c r="Q34" s="9">
        <f t="shared" ref="Q34:Q65" si="8">P34*J34</f>
        <v>1.0498094849999999</v>
      </c>
      <c r="R34" s="9">
        <f t="shared" ref="R34:R65" si="9">Q34/M34</f>
        <v>0.10498094849999999</v>
      </c>
    </row>
    <row r="35" spans="1:18" x14ac:dyDescent="0.75">
      <c r="A35" s="7" t="s">
        <v>7</v>
      </c>
      <c r="B35" s="7" t="s">
        <v>87</v>
      </c>
      <c r="C35" s="7" t="s">
        <v>9</v>
      </c>
      <c r="D35" s="7" t="s">
        <v>50</v>
      </c>
      <c r="E35" s="8" t="s">
        <v>33</v>
      </c>
      <c r="F35" s="8">
        <v>10</v>
      </c>
      <c r="G35" s="8" t="s">
        <v>20</v>
      </c>
      <c r="H35" s="8">
        <v>5</v>
      </c>
      <c r="I35" s="7" t="s">
        <v>88</v>
      </c>
      <c r="J35" s="9">
        <v>0.61956045800000004</v>
      </c>
      <c r="K35" s="10">
        <v>15</v>
      </c>
      <c r="L35" s="9">
        <v>0.25</v>
      </c>
      <c r="M35" s="9">
        <v>10</v>
      </c>
      <c r="N35" s="9">
        <f t="shared" si="5"/>
        <v>2.5</v>
      </c>
      <c r="O35" s="9">
        <f t="shared" si="6"/>
        <v>4.0351187163723088</v>
      </c>
      <c r="P35" s="9">
        <f t="shared" si="7"/>
        <v>4.0351187163723088</v>
      </c>
      <c r="Q35" s="9">
        <f t="shared" si="8"/>
        <v>2.5</v>
      </c>
      <c r="R35" s="9">
        <f t="shared" si="9"/>
        <v>0.25</v>
      </c>
    </row>
    <row r="36" spans="1:18" x14ac:dyDescent="0.75">
      <c r="A36" s="7" t="s">
        <v>7</v>
      </c>
      <c r="B36" s="7" t="s">
        <v>89</v>
      </c>
      <c r="C36" s="7" t="s">
        <v>44</v>
      </c>
      <c r="D36" s="7" t="s">
        <v>47</v>
      </c>
      <c r="E36" s="8" t="s">
        <v>23</v>
      </c>
      <c r="F36" s="8">
        <v>12</v>
      </c>
      <c r="G36" s="8" t="s">
        <v>14</v>
      </c>
      <c r="H36" s="8">
        <v>5</v>
      </c>
      <c r="I36" s="7" t="s">
        <v>48</v>
      </c>
      <c r="J36" s="9">
        <v>4.9832737000000002E-2</v>
      </c>
      <c r="K36" s="10">
        <v>15</v>
      </c>
      <c r="L36" s="9">
        <v>0.25</v>
      </c>
      <c r="M36" s="9">
        <v>10</v>
      </c>
      <c r="N36" s="9">
        <f t="shared" si="5"/>
        <v>2.5</v>
      </c>
      <c r="O36" s="9">
        <f t="shared" si="6"/>
        <v>50.167824416306892</v>
      </c>
      <c r="P36" s="9">
        <f t="shared" si="7"/>
        <v>15</v>
      </c>
      <c r="Q36" s="9">
        <f t="shared" si="8"/>
        <v>0.74749105500000002</v>
      </c>
      <c r="R36" s="9">
        <f t="shared" si="9"/>
        <v>7.4749105499999996E-2</v>
      </c>
    </row>
    <row r="37" spans="1:18" x14ac:dyDescent="0.75">
      <c r="A37" s="7" t="s">
        <v>7</v>
      </c>
      <c r="B37" s="7" t="s">
        <v>90</v>
      </c>
      <c r="C37" s="7" t="s">
        <v>9</v>
      </c>
      <c r="D37" s="7" t="s">
        <v>53</v>
      </c>
      <c r="E37" s="8" t="s">
        <v>71</v>
      </c>
      <c r="F37" s="8">
        <v>3</v>
      </c>
      <c r="G37" s="8" t="s">
        <v>11</v>
      </c>
      <c r="H37" s="8">
        <v>5</v>
      </c>
      <c r="I37" s="7" t="s">
        <v>91</v>
      </c>
      <c r="J37" s="9">
        <v>7.0084404000000003E-2</v>
      </c>
      <c r="K37" s="10">
        <v>15</v>
      </c>
      <c r="L37" s="9">
        <v>0.25</v>
      </c>
      <c r="M37" s="9">
        <v>10</v>
      </c>
      <c r="N37" s="9">
        <f t="shared" si="5"/>
        <v>2.5</v>
      </c>
      <c r="O37" s="9">
        <f t="shared" si="6"/>
        <v>35.671274310900891</v>
      </c>
      <c r="P37" s="9">
        <f t="shared" si="7"/>
        <v>15</v>
      </c>
      <c r="Q37" s="9">
        <f t="shared" si="8"/>
        <v>1.0512660600000001</v>
      </c>
      <c r="R37" s="9">
        <f t="shared" si="9"/>
        <v>0.10512660600000001</v>
      </c>
    </row>
    <row r="38" spans="1:18" x14ac:dyDescent="0.75">
      <c r="A38" s="7" t="s">
        <v>7</v>
      </c>
      <c r="B38" s="7" t="s">
        <v>92</v>
      </c>
      <c r="C38" s="7" t="s">
        <v>9</v>
      </c>
      <c r="D38" s="7" t="s">
        <v>53</v>
      </c>
      <c r="E38" s="8" t="s">
        <v>20</v>
      </c>
      <c r="F38" s="8">
        <v>12</v>
      </c>
      <c r="G38" s="8" t="s">
        <v>33</v>
      </c>
      <c r="H38" s="8">
        <v>5</v>
      </c>
      <c r="I38" s="7" t="s">
        <v>93</v>
      </c>
      <c r="J38" s="9">
        <v>6.7653344000000004E-2</v>
      </c>
      <c r="K38" s="10">
        <v>15</v>
      </c>
      <c r="L38" s="9">
        <v>0.25</v>
      </c>
      <c r="M38" s="9">
        <v>10</v>
      </c>
      <c r="N38" s="9">
        <f t="shared" si="5"/>
        <v>2.5</v>
      </c>
      <c r="O38" s="9">
        <f t="shared" si="6"/>
        <v>36.953088379489415</v>
      </c>
      <c r="P38" s="9">
        <f t="shared" si="7"/>
        <v>15</v>
      </c>
      <c r="Q38" s="9">
        <f t="shared" si="8"/>
        <v>1.0148001600000001</v>
      </c>
      <c r="R38" s="9">
        <f t="shared" si="9"/>
        <v>0.10148001600000001</v>
      </c>
    </row>
    <row r="39" spans="1:18" x14ac:dyDescent="0.75">
      <c r="A39" s="7" t="s">
        <v>7</v>
      </c>
      <c r="B39" s="7" t="s">
        <v>94</v>
      </c>
      <c r="C39" s="7" t="s">
        <v>9</v>
      </c>
      <c r="D39" s="7" t="s">
        <v>50</v>
      </c>
      <c r="E39" s="8" t="s">
        <v>26</v>
      </c>
      <c r="F39" s="8">
        <v>5</v>
      </c>
      <c r="G39" s="8" t="s">
        <v>26</v>
      </c>
      <c r="H39" s="8">
        <v>5</v>
      </c>
      <c r="I39" s="7" t="s">
        <v>95</v>
      </c>
      <c r="J39" s="9">
        <v>0.124925095</v>
      </c>
      <c r="K39" s="10">
        <v>15</v>
      </c>
      <c r="L39" s="9">
        <v>0.25</v>
      </c>
      <c r="M39" s="9">
        <v>10</v>
      </c>
      <c r="N39" s="9">
        <f t="shared" si="5"/>
        <v>2.5</v>
      </c>
      <c r="O39" s="9">
        <f t="shared" si="6"/>
        <v>20.011991986077739</v>
      </c>
      <c r="P39" s="9">
        <f t="shared" si="7"/>
        <v>15</v>
      </c>
      <c r="Q39" s="9">
        <f t="shared" si="8"/>
        <v>1.873876425</v>
      </c>
      <c r="R39" s="9">
        <f t="shared" si="9"/>
        <v>0.18738764250000001</v>
      </c>
    </row>
    <row r="40" spans="1:18" x14ac:dyDescent="0.75">
      <c r="A40" s="7" t="s">
        <v>7</v>
      </c>
      <c r="B40" s="7" t="s">
        <v>96</v>
      </c>
      <c r="C40" s="7" t="s">
        <v>9</v>
      </c>
      <c r="D40" s="7" t="s">
        <v>53</v>
      </c>
      <c r="E40" s="8" t="s">
        <v>33</v>
      </c>
      <c r="F40" s="8">
        <v>3</v>
      </c>
      <c r="G40" s="8" t="s">
        <v>17</v>
      </c>
      <c r="H40" s="8">
        <v>6</v>
      </c>
      <c r="I40" s="7" t="s">
        <v>97</v>
      </c>
      <c r="J40" s="9">
        <v>6.4588591000000001E-2</v>
      </c>
      <c r="K40" s="10">
        <v>15</v>
      </c>
      <c r="L40" s="9">
        <v>0.25</v>
      </c>
      <c r="M40" s="9">
        <v>10</v>
      </c>
      <c r="N40" s="9">
        <f t="shared" si="5"/>
        <v>2.5</v>
      </c>
      <c r="O40" s="9">
        <f t="shared" si="6"/>
        <v>38.706526358501918</v>
      </c>
      <c r="P40" s="9">
        <f t="shared" si="7"/>
        <v>15</v>
      </c>
      <c r="Q40" s="9">
        <f t="shared" si="8"/>
        <v>0.96882886499999998</v>
      </c>
      <c r="R40" s="9">
        <f t="shared" si="9"/>
        <v>9.6882886500000001E-2</v>
      </c>
    </row>
    <row r="41" spans="1:18" x14ac:dyDescent="0.75">
      <c r="A41" s="7" t="s">
        <v>7</v>
      </c>
      <c r="B41" s="7" t="s">
        <v>98</v>
      </c>
      <c r="C41" s="7" t="s">
        <v>9</v>
      </c>
      <c r="D41" s="7" t="s">
        <v>50</v>
      </c>
      <c r="E41" s="8" t="s">
        <v>14</v>
      </c>
      <c r="F41" s="8">
        <v>10</v>
      </c>
      <c r="G41" s="8" t="s">
        <v>71</v>
      </c>
      <c r="H41" s="8">
        <v>6</v>
      </c>
      <c r="I41" s="7" t="s">
        <v>99</v>
      </c>
      <c r="J41" s="9">
        <v>0.170897725</v>
      </c>
      <c r="K41" s="10">
        <v>15</v>
      </c>
      <c r="L41" s="9">
        <v>0.25</v>
      </c>
      <c r="M41" s="9">
        <v>10</v>
      </c>
      <c r="N41" s="9">
        <f t="shared" si="5"/>
        <v>2.5</v>
      </c>
      <c r="O41" s="9">
        <f t="shared" si="6"/>
        <v>14.628632417429781</v>
      </c>
      <c r="P41" s="9">
        <f t="shared" si="7"/>
        <v>14.628632417429781</v>
      </c>
      <c r="Q41" s="9">
        <f t="shared" si="8"/>
        <v>2.5</v>
      </c>
      <c r="R41" s="9">
        <f t="shared" si="9"/>
        <v>0.25</v>
      </c>
    </row>
    <row r="42" spans="1:18" x14ac:dyDescent="0.75">
      <c r="A42" s="7" t="s">
        <v>7</v>
      </c>
      <c r="B42" s="7" t="s">
        <v>100</v>
      </c>
      <c r="C42" s="7" t="s">
        <v>9</v>
      </c>
      <c r="D42" s="7" t="s">
        <v>50</v>
      </c>
      <c r="E42" s="8" t="s">
        <v>11</v>
      </c>
      <c r="F42" s="8">
        <v>3</v>
      </c>
      <c r="G42" s="8" t="s">
        <v>23</v>
      </c>
      <c r="H42" s="8">
        <v>6</v>
      </c>
      <c r="I42" s="7" t="s">
        <v>101</v>
      </c>
      <c r="J42" s="9">
        <v>0.28168763499999999</v>
      </c>
      <c r="K42" s="10">
        <v>15</v>
      </c>
      <c r="L42" s="9">
        <v>0.25</v>
      </c>
      <c r="M42" s="9">
        <v>10</v>
      </c>
      <c r="N42" s="9">
        <f t="shared" si="5"/>
        <v>2.5</v>
      </c>
      <c r="O42" s="9">
        <f t="shared" si="6"/>
        <v>8.8750789504835748</v>
      </c>
      <c r="P42" s="9">
        <f t="shared" si="7"/>
        <v>8.8750789504835748</v>
      </c>
      <c r="Q42" s="9">
        <f t="shared" si="8"/>
        <v>2.5</v>
      </c>
      <c r="R42" s="9">
        <f t="shared" si="9"/>
        <v>0.25</v>
      </c>
    </row>
    <row r="43" spans="1:18" x14ac:dyDescent="0.75">
      <c r="A43" s="7" t="s">
        <v>7</v>
      </c>
      <c r="B43" s="7" t="s">
        <v>102</v>
      </c>
      <c r="C43" s="7" t="s">
        <v>44</v>
      </c>
      <c r="D43" s="7" t="s">
        <v>53</v>
      </c>
      <c r="E43" s="8" t="s">
        <v>71</v>
      </c>
      <c r="F43" s="8">
        <v>5</v>
      </c>
      <c r="G43" s="8" t="s">
        <v>20</v>
      </c>
      <c r="H43" s="8">
        <v>6</v>
      </c>
      <c r="I43" s="7" t="s">
        <v>103</v>
      </c>
      <c r="J43" s="9">
        <v>7.6975199999999994E-2</v>
      </c>
      <c r="K43" s="10">
        <v>15</v>
      </c>
      <c r="L43" s="9">
        <v>0.25</v>
      </c>
      <c r="M43" s="9">
        <v>10</v>
      </c>
      <c r="N43" s="9">
        <f t="shared" si="5"/>
        <v>2.5</v>
      </c>
      <c r="O43" s="9">
        <f t="shared" si="6"/>
        <v>32.477992912002833</v>
      </c>
      <c r="P43" s="9">
        <f t="shared" si="7"/>
        <v>15</v>
      </c>
      <c r="Q43" s="9">
        <f t="shared" si="8"/>
        <v>1.154628</v>
      </c>
      <c r="R43" s="9">
        <f t="shared" si="9"/>
        <v>0.1154628</v>
      </c>
    </row>
    <row r="44" spans="1:18" x14ac:dyDescent="0.75">
      <c r="A44" s="7" t="s">
        <v>7</v>
      </c>
      <c r="B44" s="7" t="s">
        <v>104</v>
      </c>
      <c r="C44" s="7" t="s">
        <v>9</v>
      </c>
      <c r="D44" s="7" t="s">
        <v>53</v>
      </c>
      <c r="E44" s="8" t="s">
        <v>26</v>
      </c>
      <c r="F44" s="8">
        <v>9</v>
      </c>
      <c r="G44" s="8" t="s">
        <v>14</v>
      </c>
      <c r="H44" s="8">
        <v>6</v>
      </c>
      <c r="I44" s="7" t="s">
        <v>105</v>
      </c>
      <c r="J44" s="9">
        <v>7.5002561999999995E-2</v>
      </c>
      <c r="K44" s="10">
        <v>15</v>
      </c>
      <c r="L44" s="9">
        <v>0.25</v>
      </c>
      <c r="M44" s="9">
        <v>10</v>
      </c>
      <c r="N44" s="9">
        <f t="shared" si="5"/>
        <v>2.5</v>
      </c>
      <c r="O44" s="9">
        <f t="shared" si="6"/>
        <v>33.332194705562195</v>
      </c>
      <c r="P44" s="9">
        <f t="shared" si="7"/>
        <v>15</v>
      </c>
      <c r="Q44" s="9">
        <f t="shared" si="8"/>
        <v>1.12503843</v>
      </c>
      <c r="R44" s="9">
        <f t="shared" si="9"/>
        <v>0.11250384300000001</v>
      </c>
    </row>
    <row r="45" spans="1:18" x14ac:dyDescent="0.75">
      <c r="A45" s="7" t="s">
        <v>7</v>
      </c>
      <c r="B45" s="7" t="s">
        <v>106</v>
      </c>
      <c r="C45" s="7" t="s">
        <v>9</v>
      </c>
      <c r="D45" s="7" t="s">
        <v>53</v>
      </c>
      <c r="E45" s="8" t="s">
        <v>17</v>
      </c>
      <c r="F45" s="8">
        <v>6</v>
      </c>
      <c r="G45" s="8" t="s">
        <v>11</v>
      </c>
      <c r="H45" s="8">
        <v>6</v>
      </c>
      <c r="I45" s="7" t="s">
        <v>107</v>
      </c>
      <c r="J45" s="9">
        <v>6.3006366999999994E-2</v>
      </c>
      <c r="K45" s="10">
        <v>15</v>
      </c>
      <c r="L45" s="9">
        <v>0.25</v>
      </c>
      <c r="M45" s="9">
        <v>10</v>
      </c>
      <c r="N45" s="9">
        <f t="shared" si="5"/>
        <v>2.5</v>
      </c>
      <c r="O45" s="9">
        <f t="shared" si="6"/>
        <v>39.678529631775156</v>
      </c>
      <c r="P45" s="9">
        <f t="shared" si="7"/>
        <v>15</v>
      </c>
      <c r="Q45" s="9">
        <f t="shared" si="8"/>
        <v>0.94509550499999995</v>
      </c>
      <c r="R45" s="9">
        <f t="shared" si="9"/>
        <v>9.4509550499999997E-2</v>
      </c>
    </row>
    <row r="46" spans="1:18" x14ac:dyDescent="0.75">
      <c r="A46" s="7" t="s">
        <v>7</v>
      </c>
      <c r="B46" s="7" t="s">
        <v>108</v>
      </c>
      <c r="C46" s="7" t="s">
        <v>9</v>
      </c>
      <c r="D46" s="7" t="s">
        <v>50</v>
      </c>
      <c r="E46" s="8" t="s">
        <v>23</v>
      </c>
      <c r="F46" s="8">
        <v>5</v>
      </c>
      <c r="G46" s="8" t="s">
        <v>33</v>
      </c>
      <c r="H46" s="8">
        <v>6</v>
      </c>
      <c r="I46" s="7" t="s">
        <v>109</v>
      </c>
      <c r="J46" s="9">
        <v>0.11297718900000001</v>
      </c>
      <c r="K46" s="10">
        <v>15</v>
      </c>
      <c r="L46" s="9">
        <v>0.25</v>
      </c>
      <c r="M46" s="9">
        <v>10</v>
      </c>
      <c r="N46" s="9">
        <f t="shared" si="5"/>
        <v>2.5</v>
      </c>
      <c r="O46" s="9">
        <f t="shared" si="6"/>
        <v>22.128360796797661</v>
      </c>
      <c r="P46" s="9">
        <f t="shared" si="7"/>
        <v>15</v>
      </c>
      <c r="Q46" s="9">
        <f t="shared" si="8"/>
        <v>1.6946578350000001</v>
      </c>
      <c r="R46" s="9">
        <f t="shared" si="9"/>
        <v>0.16946578350000002</v>
      </c>
    </row>
    <row r="47" spans="1:18" hidden="1" x14ac:dyDescent="0.75">
      <c r="A47" s="7" t="s">
        <v>7</v>
      </c>
      <c r="B47" s="7" t="s">
        <v>110</v>
      </c>
      <c r="C47" s="7" t="s">
        <v>9</v>
      </c>
      <c r="D47" s="7" t="s">
        <v>50</v>
      </c>
      <c r="E47" s="8" t="s">
        <v>26</v>
      </c>
      <c r="F47" s="8">
        <v>12</v>
      </c>
      <c r="G47" s="8" t="s">
        <v>199</v>
      </c>
      <c r="H47" s="8" t="s">
        <v>199</v>
      </c>
      <c r="I47" s="7" t="s">
        <v>78</v>
      </c>
      <c r="J47" s="9">
        <v>0.115121406</v>
      </c>
      <c r="K47" s="10">
        <v>15</v>
      </c>
      <c r="L47" s="9">
        <v>0.25</v>
      </c>
      <c r="M47" s="9">
        <v>10</v>
      </c>
      <c r="N47" s="9">
        <f t="shared" si="5"/>
        <v>2.5</v>
      </c>
      <c r="O47" s="9">
        <f t="shared" si="6"/>
        <v>21.716204543228042</v>
      </c>
      <c r="P47" s="9">
        <f t="shared" si="7"/>
        <v>15</v>
      </c>
      <c r="Q47" s="9">
        <f t="shared" si="8"/>
        <v>1.7268210899999998</v>
      </c>
      <c r="R47" s="9">
        <f t="shared" si="9"/>
        <v>0.17268210899999997</v>
      </c>
    </row>
    <row r="48" spans="1:18" hidden="1" x14ac:dyDescent="0.75">
      <c r="A48" s="7" t="s">
        <v>7</v>
      </c>
      <c r="B48" s="7" t="s">
        <v>111</v>
      </c>
      <c r="C48" s="7" t="s">
        <v>9</v>
      </c>
      <c r="D48" s="7" t="s">
        <v>50</v>
      </c>
      <c r="E48" s="8" t="s">
        <v>11</v>
      </c>
      <c r="F48" s="8">
        <v>6</v>
      </c>
      <c r="G48" s="8" t="s">
        <v>199</v>
      </c>
      <c r="H48" s="8" t="s">
        <v>199</v>
      </c>
      <c r="I48" s="7" t="s">
        <v>101</v>
      </c>
      <c r="J48" s="9">
        <v>8.1447307999999996E-2</v>
      </c>
      <c r="K48" s="10">
        <v>15</v>
      </c>
      <c r="L48" s="9">
        <v>0.25</v>
      </c>
      <c r="M48" s="9">
        <v>10</v>
      </c>
      <c r="N48" s="9">
        <f t="shared" si="5"/>
        <v>2.5</v>
      </c>
      <c r="O48" s="9">
        <f t="shared" si="6"/>
        <v>30.694691591280097</v>
      </c>
      <c r="P48" s="9">
        <f t="shared" si="7"/>
        <v>15</v>
      </c>
      <c r="Q48" s="9">
        <f t="shared" si="8"/>
        <v>1.2217096199999999</v>
      </c>
      <c r="R48" s="9">
        <f t="shared" si="9"/>
        <v>0.12217096199999999</v>
      </c>
    </row>
    <row r="49" spans="1:18" hidden="1" x14ac:dyDescent="0.75">
      <c r="A49" s="7" t="s">
        <v>7</v>
      </c>
      <c r="B49" s="7" t="s">
        <v>112</v>
      </c>
      <c r="C49" s="7" t="s">
        <v>9</v>
      </c>
      <c r="D49" s="7" t="s">
        <v>53</v>
      </c>
      <c r="E49" s="8" t="s">
        <v>23</v>
      </c>
      <c r="F49" s="8">
        <v>7</v>
      </c>
      <c r="G49" s="8" t="s">
        <v>199</v>
      </c>
      <c r="H49" s="8" t="s">
        <v>199</v>
      </c>
      <c r="I49" s="7" t="s">
        <v>86</v>
      </c>
      <c r="J49" s="9">
        <v>0.121286017</v>
      </c>
      <c r="K49" s="10">
        <v>15</v>
      </c>
      <c r="L49" s="9">
        <v>0.25</v>
      </c>
      <c r="M49" s="9">
        <v>10</v>
      </c>
      <c r="N49" s="9">
        <f t="shared" si="5"/>
        <v>2.5</v>
      </c>
      <c r="O49" s="9">
        <f t="shared" si="6"/>
        <v>20.612433830686353</v>
      </c>
      <c r="P49" s="9">
        <f t="shared" si="7"/>
        <v>15</v>
      </c>
      <c r="Q49" s="9">
        <f t="shared" si="8"/>
        <v>1.8192902549999999</v>
      </c>
      <c r="R49" s="9">
        <f t="shared" si="9"/>
        <v>0.18192902549999998</v>
      </c>
    </row>
    <row r="50" spans="1:18" hidden="1" x14ac:dyDescent="0.75">
      <c r="A50" s="7" t="s">
        <v>7</v>
      </c>
      <c r="B50" s="7" t="s">
        <v>113</v>
      </c>
      <c r="C50" s="7" t="s">
        <v>9</v>
      </c>
      <c r="D50" s="7" t="s">
        <v>10</v>
      </c>
      <c r="E50" s="8" t="s">
        <v>11</v>
      </c>
      <c r="F50" s="8">
        <v>8</v>
      </c>
      <c r="G50" s="8" t="s">
        <v>199</v>
      </c>
      <c r="H50" s="8" t="s">
        <v>199</v>
      </c>
      <c r="I50" s="7" t="s">
        <v>24</v>
      </c>
      <c r="J50" s="9">
        <v>5.5785684000000002E-2</v>
      </c>
      <c r="K50" s="10">
        <v>15</v>
      </c>
      <c r="L50" s="9">
        <v>0.25</v>
      </c>
      <c r="M50" s="9">
        <v>10</v>
      </c>
      <c r="N50" s="9">
        <f t="shared" si="5"/>
        <v>2.5</v>
      </c>
      <c r="O50" s="9">
        <f t="shared" si="6"/>
        <v>44.814364918426023</v>
      </c>
      <c r="P50" s="9">
        <f t="shared" si="7"/>
        <v>15</v>
      </c>
      <c r="Q50" s="9">
        <f t="shared" si="8"/>
        <v>0.83678526000000009</v>
      </c>
      <c r="R50" s="9">
        <f t="shared" si="9"/>
        <v>8.3678526000000003E-2</v>
      </c>
    </row>
    <row r="51" spans="1:18" hidden="1" x14ac:dyDescent="0.75">
      <c r="A51" s="7" t="s">
        <v>7</v>
      </c>
      <c r="B51" s="7" t="s">
        <v>114</v>
      </c>
      <c r="C51" s="7" t="s">
        <v>9</v>
      </c>
      <c r="D51" s="7" t="s">
        <v>53</v>
      </c>
      <c r="E51" s="8" t="s">
        <v>11</v>
      </c>
      <c r="F51" s="8">
        <v>5</v>
      </c>
      <c r="G51" s="8" t="s">
        <v>199</v>
      </c>
      <c r="H51" s="8" t="s">
        <v>199</v>
      </c>
      <c r="I51" s="7" t="s">
        <v>82</v>
      </c>
      <c r="J51" s="9">
        <v>7.4386932000000003E-2</v>
      </c>
      <c r="K51" s="10">
        <v>15</v>
      </c>
      <c r="L51" s="9">
        <v>0.25</v>
      </c>
      <c r="M51" s="9">
        <v>10</v>
      </c>
      <c r="N51" s="9">
        <f t="shared" si="5"/>
        <v>2.5</v>
      </c>
      <c r="O51" s="9">
        <f t="shared" si="6"/>
        <v>33.608053629634838</v>
      </c>
      <c r="P51" s="9">
        <f t="shared" si="7"/>
        <v>15</v>
      </c>
      <c r="Q51" s="9">
        <f t="shared" si="8"/>
        <v>1.1158039800000001</v>
      </c>
      <c r="R51" s="9">
        <f t="shared" si="9"/>
        <v>0.11158039800000001</v>
      </c>
    </row>
    <row r="52" spans="1:18" hidden="1" x14ac:dyDescent="0.75">
      <c r="A52" s="7" t="s">
        <v>7</v>
      </c>
      <c r="B52" s="7" t="s">
        <v>115</v>
      </c>
      <c r="C52" s="7" t="s">
        <v>9</v>
      </c>
      <c r="D52" s="7" t="s">
        <v>53</v>
      </c>
      <c r="E52" s="8" t="s">
        <v>26</v>
      </c>
      <c r="F52" s="8">
        <v>6</v>
      </c>
      <c r="G52" s="8" t="s">
        <v>199</v>
      </c>
      <c r="H52" s="8" t="s">
        <v>199</v>
      </c>
      <c r="I52" s="7" t="s">
        <v>54</v>
      </c>
      <c r="J52" s="9">
        <v>7.7081845999999996E-2</v>
      </c>
      <c r="K52" s="10">
        <v>15</v>
      </c>
      <c r="L52" s="9">
        <v>0.25</v>
      </c>
      <c r="M52" s="9">
        <v>10</v>
      </c>
      <c r="N52" s="9">
        <f t="shared" si="5"/>
        <v>2.5</v>
      </c>
      <c r="O52" s="9">
        <f t="shared" si="6"/>
        <v>32.433058232673879</v>
      </c>
      <c r="P52" s="9">
        <f t="shared" si="7"/>
        <v>15</v>
      </c>
      <c r="Q52" s="9">
        <f t="shared" si="8"/>
        <v>1.1562276899999999</v>
      </c>
      <c r="R52" s="9">
        <f t="shared" si="9"/>
        <v>0.11562276899999999</v>
      </c>
    </row>
    <row r="53" spans="1:18" hidden="1" x14ac:dyDescent="0.75">
      <c r="A53" s="7" t="s">
        <v>7</v>
      </c>
      <c r="B53" s="7" t="s">
        <v>116</v>
      </c>
      <c r="C53" s="7" t="s">
        <v>9</v>
      </c>
      <c r="D53" s="7" t="s">
        <v>50</v>
      </c>
      <c r="E53" s="8" t="s">
        <v>33</v>
      </c>
      <c r="F53" s="8">
        <v>7</v>
      </c>
      <c r="G53" s="8" t="s">
        <v>199</v>
      </c>
      <c r="H53" s="8" t="s">
        <v>199</v>
      </c>
      <c r="I53" s="7" t="s">
        <v>56</v>
      </c>
      <c r="J53" s="9">
        <v>7.293202E-2</v>
      </c>
      <c r="K53" s="10">
        <v>15</v>
      </c>
      <c r="L53" s="9">
        <v>0.25</v>
      </c>
      <c r="M53" s="9">
        <v>10</v>
      </c>
      <c r="N53" s="9">
        <f t="shared" si="5"/>
        <v>2.5</v>
      </c>
      <c r="O53" s="9">
        <f t="shared" si="6"/>
        <v>34.278496605469037</v>
      </c>
      <c r="P53" s="9">
        <f t="shared" si="7"/>
        <v>15</v>
      </c>
      <c r="Q53" s="9">
        <f t="shared" si="8"/>
        <v>1.0939802999999999</v>
      </c>
      <c r="R53" s="9">
        <f t="shared" si="9"/>
        <v>0.10939802999999999</v>
      </c>
    </row>
    <row r="54" spans="1:18" hidden="1" x14ac:dyDescent="0.75">
      <c r="A54" s="7" t="s">
        <v>7</v>
      </c>
      <c r="B54" s="7" t="s">
        <v>117</v>
      </c>
      <c r="C54" s="7" t="s">
        <v>9</v>
      </c>
      <c r="D54" s="7" t="s">
        <v>10</v>
      </c>
      <c r="E54" s="8" t="s">
        <v>26</v>
      </c>
      <c r="F54" s="8">
        <v>1</v>
      </c>
      <c r="G54" s="8" t="s">
        <v>199</v>
      </c>
      <c r="H54" s="8" t="s">
        <v>199</v>
      </c>
      <c r="I54" s="7" t="s">
        <v>42</v>
      </c>
      <c r="J54" s="9">
        <v>7.9009040000000003E-2</v>
      </c>
      <c r="K54" s="10">
        <v>15</v>
      </c>
      <c r="L54" s="9">
        <v>0.25</v>
      </c>
      <c r="M54" s="9">
        <v>10</v>
      </c>
      <c r="N54" s="9">
        <f t="shared" si="5"/>
        <v>2.5</v>
      </c>
      <c r="O54" s="9">
        <f t="shared" si="6"/>
        <v>31.641948820033758</v>
      </c>
      <c r="P54" s="9">
        <f t="shared" si="7"/>
        <v>15</v>
      </c>
      <c r="Q54" s="9">
        <f t="shared" si="8"/>
        <v>1.1851356</v>
      </c>
      <c r="R54" s="9">
        <f t="shared" si="9"/>
        <v>0.11851355999999999</v>
      </c>
    </row>
    <row r="55" spans="1:18" hidden="1" x14ac:dyDescent="0.75">
      <c r="A55" s="7" t="s">
        <v>7</v>
      </c>
      <c r="B55" s="7" t="s">
        <v>118</v>
      </c>
      <c r="C55" s="7" t="s">
        <v>9</v>
      </c>
      <c r="D55" s="7" t="s">
        <v>10</v>
      </c>
      <c r="E55" s="8" t="s">
        <v>11</v>
      </c>
      <c r="F55" s="8">
        <v>11</v>
      </c>
      <c r="G55" s="8" t="s">
        <v>199</v>
      </c>
      <c r="H55" s="8" t="s">
        <v>199</v>
      </c>
      <c r="I55" s="7" t="s">
        <v>34</v>
      </c>
      <c r="J55" s="9">
        <v>0.103609268</v>
      </c>
      <c r="K55" s="10">
        <v>15</v>
      </c>
      <c r="L55" s="9">
        <v>0.25</v>
      </c>
      <c r="M55" s="9">
        <v>10</v>
      </c>
      <c r="N55" s="9">
        <f t="shared" si="5"/>
        <v>2.5</v>
      </c>
      <c r="O55" s="9">
        <f t="shared" si="6"/>
        <v>24.129115553639465</v>
      </c>
      <c r="P55" s="9">
        <f t="shared" si="7"/>
        <v>15</v>
      </c>
      <c r="Q55" s="9">
        <f t="shared" si="8"/>
        <v>1.55413902</v>
      </c>
      <c r="R55" s="9">
        <f t="shared" si="9"/>
        <v>0.15541390199999999</v>
      </c>
    </row>
    <row r="56" spans="1:18" hidden="1" x14ac:dyDescent="0.75">
      <c r="A56" s="7" t="s">
        <v>7</v>
      </c>
      <c r="B56" s="7" t="s">
        <v>119</v>
      </c>
      <c r="C56" s="7" t="s">
        <v>44</v>
      </c>
      <c r="D56" s="7" t="s">
        <v>47</v>
      </c>
      <c r="E56" s="8" t="s">
        <v>14</v>
      </c>
      <c r="F56" s="8">
        <v>11</v>
      </c>
      <c r="G56" s="8" t="s">
        <v>199</v>
      </c>
      <c r="H56" s="8" t="s">
        <v>199</v>
      </c>
      <c r="I56" s="7" t="s">
        <v>48</v>
      </c>
      <c r="J56" s="9">
        <v>7.5309202000000006E-2</v>
      </c>
      <c r="K56" s="10">
        <v>15</v>
      </c>
      <c r="L56" s="9">
        <v>0.25</v>
      </c>
      <c r="M56" s="9">
        <v>10</v>
      </c>
      <c r="N56" s="9">
        <f t="shared" si="5"/>
        <v>2.5</v>
      </c>
      <c r="O56" s="9">
        <f t="shared" si="6"/>
        <v>33.196474449430497</v>
      </c>
      <c r="P56" s="9">
        <f t="shared" si="7"/>
        <v>15</v>
      </c>
      <c r="Q56" s="9">
        <f t="shared" si="8"/>
        <v>1.1296380300000002</v>
      </c>
      <c r="R56" s="9">
        <f t="shared" si="9"/>
        <v>0.11296380300000002</v>
      </c>
    </row>
    <row r="57" spans="1:18" hidden="1" x14ac:dyDescent="0.75">
      <c r="A57" s="7" t="s">
        <v>7</v>
      </c>
      <c r="B57" s="7" t="s">
        <v>120</v>
      </c>
      <c r="C57" s="7" t="s">
        <v>9</v>
      </c>
      <c r="D57" s="7" t="s">
        <v>53</v>
      </c>
      <c r="E57" s="8" t="s">
        <v>23</v>
      </c>
      <c r="F57" s="8">
        <v>6</v>
      </c>
      <c r="G57" s="8" t="s">
        <v>199</v>
      </c>
      <c r="H57" s="8" t="s">
        <v>199</v>
      </c>
      <c r="I57" s="7" t="s">
        <v>107</v>
      </c>
      <c r="J57" s="9">
        <v>8.5694854000000001E-2</v>
      </c>
      <c r="K57" s="10">
        <v>15</v>
      </c>
      <c r="L57" s="9">
        <v>0.25</v>
      </c>
      <c r="M57" s="9">
        <v>10</v>
      </c>
      <c r="N57" s="9">
        <f t="shared" si="5"/>
        <v>2.5</v>
      </c>
      <c r="O57" s="9">
        <f t="shared" si="6"/>
        <v>29.173280346565502</v>
      </c>
      <c r="P57" s="9">
        <f t="shared" si="7"/>
        <v>15</v>
      </c>
      <c r="Q57" s="9">
        <f t="shared" si="8"/>
        <v>1.28542281</v>
      </c>
      <c r="R57" s="9">
        <f t="shared" si="9"/>
        <v>0.12854228100000001</v>
      </c>
    </row>
    <row r="58" spans="1:18" hidden="1" x14ac:dyDescent="0.75">
      <c r="A58" s="7" t="s">
        <v>7</v>
      </c>
      <c r="B58" s="7" t="s">
        <v>121</v>
      </c>
      <c r="C58" s="7" t="s">
        <v>9</v>
      </c>
      <c r="D58" s="7" t="s">
        <v>50</v>
      </c>
      <c r="E58" s="8" t="s">
        <v>26</v>
      </c>
      <c r="F58" s="8">
        <v>3</v>
      </c>
      <c r="G58" s="8" t="s">
        <v>199</v>
      </c>
      <c r="H58" s="8" t="s">
        <v>199</v>
      </c>
      <c r="I58" s="7" t="s">
        <v>95</v>
      </c>
      <c r="J58" s="9">
        <v>0.12670378099999999</v>
      </c>
      <c r="K58" s="10">
        <v>15</v>
      </c>
      <c r="L58" s="9">
        <v>0.25</v>
      </c>
      <c r="M58" s="9">
        <v>10</v>
      </c>
      <c r="N58" s="9">
        <f t="shared" si="5"/>
        <v>2.5</v>
      </c>
      <c r="O58" s="9">
        <f t="shared" si="6"/>
        <v>19.731060748692261</v>
      </c>
      <c r="P58" s="9">
        <f t="shared" si="7"/>
        <v>15</v>
      </c>
      <c r="Q58" s="9">
        <f t="shared" si="8"/>
        <v>1.9005567149999998</v>
      </c>
      <c r="R58" s="9">
        <f t="shared" si="9"/>
        <v>0.19005567149999997</v>
      </c>
    </row>
    <row r="59" spans="1:18" hidden="1" x14ac:dyDescent="0.75">
      <c r="A59" s="7" t="s">
        <v>7</v>
      </c>
      <c r="B59" s="7" t="s">
        <v>122</v>
      </c>
      <c r="C59" s="7" t="s">
        <v>9</v>
      </c>
      <c r="D59" s="7" t="s">
        <v>10</v>
      </c>
      <c r="E59" s="8" t="s">
        <v>71</v>
      </c>
      <c r="F59" s="8">
        <v>10</v>
      </c>
      <c r="G59" s="8" t="s">
        <v>199</v>
      </c>
      <c r="H59" s="8" t="s">
        <v>199</v>
      </c>
      <c r="I59" s="7" t="s">
        <v>40</v>
      </c>
      <c r="J59" s="9">
        <v>0.122875885</v>
      </c>
      <c r="K59" s="10">
        <v>15</v>
      </c>
      <c r="L59" s="9">
        <v>0.25</v>
      </c>
      <c r="M59" s="9">
        <v>10</v>
      </c>
      <c r="N59" s="9">
        <f t="shared" si="5"/>
        <v>2.5</v>
      </c>
      <c r="O59" s="9">
        <f t="shared" si="6"/>
        <v>20.34573342035339</v>
      </c>
      <c r="P59" s="9">
        <f t="shared" si="7"/>
        <v>15</v>
      </c>
      <c r="Q59" s="9">
        <f t="shared" si="8"/>
        <v>1.843138275</v>
      </c>
      <c r="R59" s="9">
        <f t="shared" si="9"/>
        <v>0.1843138275</v>
      </c>
    </row>
    <row r="60" spans="1:18" hidden="1" x14ac:dyDescent="0.75">
      <c r="A60" s="7" t="s">
        <v>7</v>
      </c>
      <c r="B60" s="7" t="s">
        <v>123</v>
      </c>
      <c r="C60" s="7" t="s">
        <v>9</v>
      </c>
      <c r="D60" s="7" t="s">
        <v>50</v>
      </c>
      <c r="E60" s="8" t="s">
        <v>17</v>
      </c>
      <c r="F60" s="8">
        <v>2</v>
      </c>
      <c r="G60" s="8" t="s">
        <v>199</v>
      </c>
      <c r="H60" s="8" t="s">
        <v>199</v>
      </c>
      <c r="I60" s="7" t="s">
        <v>80</v>
      </c>
      <c r="J60" s="9">
        <v>0.18553356300000001</v>
      </c>
      <c r="K60" s="10">
        <v>15</v>
      </c>
      <c r="L60" s="9">
        <v>0.25</v>
      </c>
      <c r="M60" s="9">
        <v>10</v>
      </c>
      <c r="N60" s="9">
        <f t="shared" si="5"/>
        <v>2.5</v>
      </c>
      <c r="O60" s="9">
        <f t="shared" si="6"/>
        <v>13.47465094496137</v>
      </c>
      <c r="P60" s="9">
        <f t="shared" si="7"/>
        <v>13.47465094496137</v>
      </c>
      <c r="Q60" s="9">
        <f t="shared" si="8"/>
        <v>2.5</v>
      </c>
      <c r="R60" s="9">
        <f t="shared" si="9"/>
        <v>0.25</v>
      </c>
    </row>
    <row r="61" spans="1:18" hidden="1" x14ac:dyDescent="0.75">
      <c r="A61" s="7" t="s">
        <v>7</v>
      </c>
      <c r="B61" s="7" t="s">
        <v>124</v>
      </c>
      <c r="C61" s="7" t="s">
        <v>44</v>
      </c>
      <c r="D61" s="7" t="s">
        <v>50</v>
      </c>
      <c r="E61" s="8" t="s">
        <v>17</v>
      </c>
      <c r="F61" s="8">
        <v>11</v>
      </c>
      <c r="G61" s="8" t="s">
        <v>199</v>
      </c>
      <c r="H61" s="8" t="s">
        <v>199</v>
      </c>
      <c r="I61" s="7" t="s">
        <v>76</v>
      </c>
      <c r="J61" s="9">
        <v>9.0460544000000004E-2</v>
      </c>
      <c r="K61" s="10">
        <v>15</v>
      </c>
      <c r="L61" s="9">
        <v>0.25</v>
      </c>
      <c r="M61" s="9">
        <v>10</v>
      </c>
      <c r="N61" s="9">
        <f t="shared" si="5"/>
        <v>2.5</v>
      </c>
      <c r="O61" s="9">
        <f t="shared" si="6"/>
        <v>27.63635823370684</v>
      </c>
      <c r="P61" s="9">
        <f t="shared" si="7"/>
        <v>15</v>
      </c>
      <c r="Q61" s="9">
        <f t="shared" si="8"/>
        <v>1.3569081600000001</v>
      </c>
      <c r="R61" s="9">
        <f t="shared" si="9"/>
        <v>0.13569081600000002</v>
      </c>
    </row>
    <row r="62" spans="1:18" hidden="1" x14ac:dyDescent="0.75">
      <c r="A62" s="7" t="s">
        <v>7</v>
      </c>
      <c r="B62" s="7" t="s">
        <v>125</v>
      </c>
      <c r="C62" s="7" t="s">
        <v>9</v>
      </c>
      <c r="D62" s="7" t="s">
        <v>53</v>
      </c>
      <c r="E62" s="8" t="s">
        <v>14</v>
      </c>
      <c r="F62" s="8">
        <v>6</v>
      </c>
      <c r="G62" s="8" t="s">
        <v>199</v>
      </c>
      <c r="H62" s="8" t="s">
        <v>199</v>
      </c>
      <c r="I62" s="7" t="s">
        <v>64</v>
      </c>
      <c r="J62" s="9">
        <v>0.103089166</v>
      </c>
      <c r="K62" s="10">
        <v>15</v>
      </c>
      <c r="L62" s="9">
        <v>0.25</v>
      </c>
      <c r="M62" s="9">
        <v>10</v>
      </c>
      <c r="N62" s="9">
        <f t="shared" si="5"/>
        <v>2.5</v>
      </c>
      <c r="O62" s="9">
        <f t="shared" si="6"/>
        <v>24.250850957509929</v>
      </c>
      <c r="P62" s="9">
        <f t="shared" si="7"/>
        <v>15</v>
      </c>
      <c r="Q62" s="9">
        <f t="shared" si="8"/>
        <v>1.54633749</v>
      </c>
      <c r="R62" s="9">
        <f t="shared" si="9"/>
        <v>0.15463374899999999</v>
      </c>
    </row>
    <row r="63" spans="1:18" hidden="1" x14ac:dyDescent="0.75">
      <c r="A63" s="7" t="s">
        <v>7</v>
      </c>
      <c r="B63" s="7" t="s">
        <v>126</v>
      </c>
      <c r="C63" s="7" t="s">
        <v>9</v>
      </c>
      <c r="D63" s="7" t="s">
        <v>53</v>
      </c>
      <c r="E63" s="8" t="s">
        <v>33</v>
      </c>
      <c r="F63" s="8">
        <v>5</v>
      </c>
      <c r="G63" s="8" t="s">
        <v>199</v>
      </c>
      <c r="H63" s="8" t="s">
        <v>199</v>
      </c>
      <c r="I63" s="7" t="s">
        <v>105</v>
      </c>
      <c r="J63" s="9">
        <v>0.125823777</v>
      </c>
      <c r="K63" s="10">
        <v>15</v>
      </c>
      <c r="L63" s="9">
        <v>0.25</v>
      </c>
      <c r="M63" s="9">
        <v>10</v>
      </c>
      <c r="N63" s="9">
        <f t="shared" si="5"/>
        <v>2.5</v>
      </c>
      <c r="O63" s="9">
        <f t="shared" si="6"/>
        <v>19.869058612030063</v>
      </c>
      <c r="P63" s="9">
        <f t="shared" si="7"/>
        <v>15</v>
      </c>
      <c r="Q63" s="9">
        <f t="shared" si="8"/>
        <v>1.887356655</v>
      </c>
      <c r="R63" s="9">
        <f t="shared" si="9"/>
        <v>0.18873566550000001</v>
      </c>
    </row>
    <row r="64" spans="1:18" hidden="1" x14ac:dyDescent="0.75">
      <c r="A64" s="7" t="s">
        <v>7</v>
      </c>
      <c r="B64" s="7" t="s">
        <v>127</v>
      </c>
      <c r="C64" s="7" t="s">
        <v>9</v>
      </c>
      <c r="D64" s="7" t="s">
        <v>53</v>
      </c>
      <c r="E64" s="8" t="s">
        <v>23</v>
      </c>
      <c r="F64" s="8">
        <v>9</v>
      </c>
      <c r="G64" s="8" t="s">
        <v>199</v>
      </c>
      <c r="H64" s="8" t="s">
        <v>199</v>
      </c>
      <c r="I64" s="7" t="s">
        <v>91</v>
      </c>
      <c r="J64" s="9">
        <v>8.7697490000000003E-2</v>
      </c>
      <c r="K64" s="10">
        <v>15</v>
      </c>
      <c r="L64" s="9">
        <v>0.25</v>
      </c>
      <c r="M64" s="9">
        <v>10</v>
      </c>
      <c r="N64" s="9">
        <f t="shared" si="5"/>
        <v>2.5</v>
      </c>
      <c r="O64" s="9">
        <f t="shared" si="6"/>
        <v>28.507087260992304</v>
      </c>
      <c r="P64" s="9">
        <f t="shared" si="7"/>
        <v>15</v>
      </c>
      <c r="Q64" s="9">
        <f t="shared" si="8"/>
        <v>1.31546235</v>
      </c>
      <c r="R64" s="9">
        <f t="shared" si="9"/>
        <v>0.13154623500000001</v>
      </c>
    </row>
    <row r="65" spans="1:18" hidden="1" x14ac:dyDescent="0.75">
      <c r="A65" s="7" t="s">
        <v>7</v>
      </c>
      <c r="B65" s="7" t="s">
        <v>128</v>
      </c>
      <c r="C65" s="7" t="s">
        <v>9</v>
      </c>
      <c r="D65" s="7" t="s">
        <v>50</v>
      </c>
      <c r="E65" s="8" t="s">
        <v>71</v>
      </c>
      <c r="F65" s="8">
        <v>1</v>
      </c>
      <c r="G65" s="8" t="s">
        <v>199</v>
      </c>
      <c r="H65" s="8" t="s">
        <v>199</v>
      </c>
      <c r="I65" s="7" t="s">
        <v>72</v>
      </c>
      <c r="J65" s="9">
        <v>0.137176611</v>
      </c>
      <c r="K65" s="10">
        <v>15</v>
      </c>
      <c r="L65" s="9">
        <v>0.25</v>
      </c>
      <c r="M65" s="9">
        <v>10</v>
      </c>
      <c r="N65" s="9">
        <f t="shared" si="5"/>
        <v>2.5</v>
      </c>
      <c r="O65" s="9">
        <f t="shared" si="6"/>
        <v>18.224681173964854</v>
      </c>
      <c r="P65" s="9">
        <f t="shared" si="7"/>
        <v>15</v>
      </c>
      <c r="Q65" s="9">
        <f t="shared" si="8"/>
        <v>2.0576491649999999</v>
      </c>
      <c r="R65" s="9">
        <f t="shared" si="9"/>
        <v>0.20576491650000001</v>
      </c>
    </row>
    <row r="66" spans="1:18" hidden="1" x14ac:dyDescent="0.75">
      <c r="A66" s="7" t="s">
        <v>7</v>
      </c>
      <c r="B66" s="7" t="s">
        <v>129</v>
      </c>
      <c r="C66" s="7" t="s">
        <v>44</v>
      </c>
      <c r="D66" s="7" t="s">
        <v>10</v>
      </c>
      <c r="E66" s="8" t="s">
        <v>23</v>
      </c>
      <c r="F66" s="8">
        <v>1</v>
      </c>
      <c r="G66" s="8" t="s">
        <v>199</v>
      </c>
      <c r="H66" s="8" t="s">
        <v>199</v>
      </c>
      <c r="I66" s="7" t="s">
        <v>45</v>
      </c>
      <c r="J66" s="9">
        <v>6.6191931999999995E-2</v>
      </c>
      <c r="K66" s="10">
        <v>15</v>
      </c>
      <c r="L66" s="9">
        <v>0.25</v>
      </c>
      <c r="M66" s="9">
        <v>10</v>
      </c>
      <c r="N66" s="9">
        <f t="shared" ref="N66:N97" si="10">L66*M66</f>
        <v>2.5</v>
      </c>
      <c r="O66" s="9">
        <f t="shared" ref="O66:O97" si="11">N66/J66</f>
        <v>37.768953473060741</v>
      </c>
      <c r="P66" s="9">
        <f t="shared" ref="P66:P97" si="12">IF(O66&lt;K66,O66,K66)</f>
        <v>15</v>
      </c>
      <c r="Q66" s="9">
        <f t="shared" ref="Q66:Q97" si="13">P66*J66</f>
        <v>0.99287897999999997</v>
      </c>
      <c r="R66" s="9">
        <f t="shared" ref="R66:R97" si="14">Q66/M66</f>
        <v>9.9287897999999999E-2</v>
      </c>
    </row>
    <row r="67" spans="1:18" hidden="1" x14ac:dyDescent="0.75">
      <c r="A67" s="7" t="s">
        <v>7</v>
      </c>
      <c r="B67" s="7" t="s">
        <v>130</v>
      </c>
      <c r="C67" s="7" t="s">
        <v>9</v>
      </c>
      <c r="D67" s="7" t="s">
        <v>53</v>
      </c>
      <c r="E67" s="8" t="s">
        <v>14</v>
      </c>
      <c r="F67" s="8">
        <v>3</v>
      </c>
      <c r="G67" s="8" t="s">
        <v>199</v>
      </c>
      <c r="H67" s="8" t="s">
        <v>199</v>
      </c>
      <c r="I67" s="7" t="s">
        <v>93</v>
      </c>
      <c r="J67" s="9">
        <v>6.6133655999999999E-2</v>
      </c>
      <c r="K67" s="10">
        <v>15</v>
      </c>
      <c r="L67" s="9">
        <v>0.25</v>
      </c>
      <c r="M67" s="9">
        <v>10</v>
      </c>
      <c r="N67" s="9">
        <f t="shared" si="10"/>
        <v>2.5</v>
      </c>
      <c r="O67" s="9">
        <f t="shared" si="11"/>
        <v>37.802234916515125</v>
      </c>
      <c r="P67" s="9">
        <f t="shared" si="12"/>
        <v>15</v>
      </c>
      <c r="Q67" s="9">
        <f t="shared" si="13"/>
        <v>0.99200484</v>
      </c>
      <c r="R67" s="9">
        <f t="shared" si="14"/>
        <v>9.9200484000000005E-2</v>
      </c>
    </row>
    <row r="68" spans="1:18" hidden="1" x14ac:dyDescent="0.75">
      <c r="A68" s="7" t="s">
        <v>7</v>
      </c>
      <c r="B68" s="7" t="s">
        <v>131</v>
      </c>
      <c r="C68" s="7" t="s">
        <v>9</v>
      </c>
      <c r="D68" s="7" t="s">
        <v>10</v>
      </c>
      <c r="E68" s="8" t="s">
        <v>20</v>
      </c>
      <c r="F68" s="8">
        <v>10</v>
      </c>
      <c r="G68" s="8" t="s">
        <v>199</v>
      </c>
      <c r="H68" s="8" t="s">
        <v>199</v>
      </c>
      <c r="I68" s="7" t="s">
        <v>21</v>
      </c>
      <c r="J68" s="9">
        <v>7.3080441999999995E-2</v>
      </c>
      <c r="K68" s="10">
        <v>15</v>
      </c>
      <c r="L68" s="9">
        <v>0.25</v>
      </c>
      <c r="M68" s="9">
        <v>10</v>
      </c>
      <c r="N68" s="9">
        <f t="shared" si="10"/>
        <v>2.5</v>
      </c>
      <c r="O68" s="9">
        <f t="shared" si="11"/>
        <v>34.208879032231359</v>
      </c>
      <c r="P68" s="9">
        <f t="shared" si="12"/>
        <v>15</v>
      </c>
      <c r="Q68" s="9">
        <f t="shared" si="13"/>
        <v>1.09620663</v>
      </c>
      <c r="R68" s="9">
        <f t="shared" si="14"/>
        <v>0.10962066299999999</v>
      </c>
    </row>
    <row r="69" spans="1:18" hidden="1" x14ac:dyDescent="0.75">
      <c r="A69" s="7" t="s">
        <v>7</v>
      </c>
      <c r="B69" s="7" t="s">
        <v>132</v>
      </c>
      <c r="C69" s="7" t="s">
        <v>9</v>
      </c>
      <c r="D69" s="7" t="s">
        <v>50</v>
      </c>
      <c r="E69" s="8" t="s">
        <v>33</v>
      </c>
      <c r="F69" s="8">
        <v>9</v>
      </c>
      <c r="G69" s="8" t="s">
        <v>199</v>
      </c>
      <c r="H69" s="8" t="s">
        <v>199</v>
      </c>
      <c r="I69" s="7" t="s">
        <v>51</v>
      </c>
      <c r="J69" s="9">
        <v>9.2130660000000003E-2</v>
      </c>
      <c r="K69" s="10">
        <v>15</v>
      </c>
      <c r="L69" s="9">
        <v>0.25</v>
      </c>
      <c r="M69" s="9">
        <v>10</v>
      </c>
      <c r="N69" s="9">
        <f t="shared" si="10"/>
        <v>2.5</v>
      </c>
      <c r="O69" s="9">
        <f t="shared" si="11"/>
        <v>27.135374912108521</v>
      </c>
      <c r="P69" s="9">
        <f t="shared" si="12"/>
        <v>15</v>
      </c>
      <c r="Q69" s="9">
        <f t="shared" si="13"/>
        <v>1.3819599</v>
      </c>
      <c r="R69" s="9">
        <f t="shared" si="14"/>
        <v>0.13819598999999999</v>
      </c>
    </row>
    <row r="70" spans="1:18" hidden="1" x14ac:dyDescent="0.75">
      <c r="A70" s="7" t="s">
        <v>7</v>
      </c>
      <c r="B70" s="7" t="s">
        <v>133</v>
      </c>
      <c r="C70" s="7" t="s">
        <v>9</v>
      </c>
      <c r="D70" s="7" t="s">
        <v>10</v>
      </c>
      <c r="E70" s="8" t="s">
        <v>71</v>
      </c>
      <c r="F70" s="8">
        <v>9</v>
      </c>
      <c r="G70" s="8" t="s">
        <v>199</v>
      </c>
      <c r="H70" s="8" t="s">
        <v>199</v>
      </c>
      <c r="I70" s="7" t="s">
        <v>38</v>
      </c>
      <c r="J70" s="9">
        <v>0.11285663899999999</v>
      </c>
      <c r="K70" s="10">
        <v>15</v>
      </c>
      <c r="L70" s="9">
        <v>0.25</v>
      </c>
      <c r="M70" s="9">
        <v>10</v>
      </c>
      <c r="N70" s="9">
        <f t="shared" si="10"/>
        <v>2.5</v>
      </c>
      <c r="O70" s="9">
        <f t="shared" si="11"/>
        <v>22.151997633032472</v>
      </c>
      <c r="P70" s="9">
        <f t="shared" si="12"/>
        <v>15</v>
      </c>
      <c r="Q70" s="9">
        <f t="shared" si="13"/>
        <v>1.6928495849999998</v>
      </c>
      <c r="R70" s="9">
        <f t="shared" si="14"/>
        <v>0.16928495849999997</v>
      </c>
    </row>
    <row r="71" spans="1:18" hidden="1" x14ac:dyDescent="0.75">
      <c r="A71" s="7" t="s">
        <v>7</v>
      </c>
      <c r="B71" s="7" t="s">
        <v>134</v>
      </c>
      <c r="C71" s="7" t="s">
        <v>9</v>
      </c>
      <c r="D71" s="7" t="s">
        <v>53</v>
      </c>
      <c r="E71" s="8" t="s">
        <v>71</v>
      </c>
      <c r="F71" s="8">
        <v>12</v>
      </c>
      <c r="G71" s="8" t="s">
        <v>199</v>
      </c>
      <c r="H71" s="8" t="s">
        <v>199</v>
      </c>
      <c r="I71" s="7" t="s">
        <v>74</v>
      </c>
      <c r="J71" s="9">
        <v>7.6916604999999999E-2</v>
      </c>
      <c r="K71" s="10">
        <v>15</v>
      </c>
      <c r="L71" s="9">
        <v>0.25</v>
      </c>
      <c r="M71" s="9">
        <v>10</v>
      </c>
      <c r="N71" s="9">
        <f t="shared" si="10"/>
        <v>2.5</v>
      </c>
      <c r="O71" s="9">
        <f t="shared" si="11"/>
        <v>32.502734617577048</v>
      </c>
      <c r="P71" s="9">
        <f t="shared" si="12"/>
        <v>15</v>
      </c>
      <c r="Q71" s="9">
        <f t="shared" si="13"/>
        <v>1.1537490749999999</v>
      </c>
      <c r="R71" s="9">
        <f t="shared" si="14"/>
        <v>0.11537490749999998</v>
      </c>
    </row>
    <row r="72" spans="1:18" hidden="1" x14ac:dyDescent="0.75">
      <c r="A72" s="7" t="s">
        <v>7</v>
      </c>
      <c r="B72" s="7" t="s">
        <v>135</v>
      </c>
      <c r="C72" s="7" t="s">
        <v>44</v>
      </c>
      <c r="D72" s="7" t="s">
        <v>47</v>
      </c>
      <c r="E72" s="8" t="s">
        <v>17</v>
      </c>
      <c r="F72" s="8">
        <v>9</v>
      </c>
      <c r="G72" s="8" t="s">
        <v>199</v>
      </c>
      <c r="H72" s="8" t="s">
        <v>199</v>
      </c>
      <c r="I72" s="7" t="s">
        <v>48</v>
      </c>
      <c r="J72" s="9">
        <v>5.8652886000000001E-2</v>
      </c>
      <c r="K72" s="10">
        <v>15</v>
      </c>
      <c r="L72" s="9">
        <v>0.25</v>
      </c>
      <c r="M72" s="9">
        <v>10</v>
      </c>
      <c r="N72" s="9">
        <f t="shared" si="10"/>
        <v>2.5</v>
      </c>
      <c r="O72" s="9">
        <f t="shared" si="11"/>
        <v>42.623648561811606</v>
      </c>
      <c r="P72" s="9">
        <f t="shared" si="12"/>
        <v>15</v>
      </c>
      <c r="Q72" s="9">
        <f t="shared" si="13"/>
        <v>0.87979329000000006</v>
      </c>
      <c r="R72" s="9">
        <f t="shared" si="14"/>
        <v>8.7979329000000009E-2</v>
      </c>
    </row>
    <row r="73" spans="1:18" hidden="1" x14ac:dyDescent="0.75">
      <c r="A73" s="7" t="s">
        <v>7</v>
      </c>
      <c r="B73" s="7" t="s">
        <v>136</v>
      </c>
      <c r="C73" s="7" t="s">
        <v>9</v>
      </c>
      <c r="D73" s="7" t="s">
        <v>53</v>
      </c>
      <c r="E73" s="8" t="s">
        <v>14</v>
      </c>
      <c r="F73" s="8">
        <v>12</v>
      </c>
      <c r="G73" s="8" t="s">
        <v>199</v>
      </c>
      <c r="H73" s="8" t="s">
        <v>199</v>
      </c>
      <c r="I73" s="7" t="s">
        <v>60</v>
      </c>
      <c r="J73" s="9">
        <v>7.8653983999999996E-2</v>
      </c>
      <c r="K73" s="10">
        <v>15</v>
      </c>
      <c r="L73" s="9">
        <v>0.25</v>
      </c>
      <c r="M73" s="9">
        <v>10</v>
      </c>
      <c r="N73" s="9">
        <f t="shared" si="10"/>
        <v>2.5</v>
      </c>
      <c r="O73" s="9">
        <f t="shared" si="11"/>
        <v>31.78478537082114</v>
      </c>
      <c r="P73" s="9">
        <f t="shared" si="12"/>
        <v>15</v>
      </c>
      <c r="Q73" s="9">
        <f t="shared" si="13"/>
        <v>1.1798097599999999</v>
      </c>
      <c r="R73" s="9">
        <f t="shared" si="14"/>
        <v>0.11798097599999999</v>
      </c>
    </row>
    <row r="74" spans="1:18" hidden="1" x14ac:dyDescent="0.75">
      <c r="A74" s="7" t="s">
        <v>7</v>
      </c>
      <c r="B74" s="7" t="s">
        <v>137</v>
      </c>
      <c r="C74" s="7" t="s">
        <v>44</v>
      </c>
      <c r="D74" s="7" t="s">
        <v>53</v>
      </c>
      <c r="E74" s="8" t="s">
        <v>20</v>
      </c>
      <c r="F74" s="8">
        <v>5</v>
      </c>
      <c r="G74" s="8" t="s">
        <v>199</v>
      </c>
      <c r="H74" s="8" t="s">
        <v>199</v>
      </c>
      <c r="I74" s="7" t="s">
        <v>103</v>
      </c>
      <c r="J74" s="9">
        <v>0.119966771</v>
      </c>
      <c r="K74" s="10">
        <v>15</v>
      </c>
      <c r="L74" s="9">
        <v>0.25</v>
      </c>
      <c r="M74" s="9">
        <v>10</v>
      </c>
      <c r="N74" s="9">
        <f t="shared" si="10"/>
        <v>2.5</v>
      </c>
      <c r="O74" s="9">
        <f t="shared" si="11"/>
        <v>20.839103854849942</v>
      </c>
      <c r="P74" s="9">
        <f t="shared" si="12"/>
        <v>15</v>
      </c>
      <c r="Q74" s="9">
        <f t="shared" si="13"/>
        <v>1.7995015649999999</v>
      </c>
      <c r="R74" s="9">
        <f t="shared" si="14"/>
        <v>0.17995015649999999</v>
      </c>
    </row>
    <row r="75" spans="1:18" hidden="1" x14ac:dyDescent="0.75">
      <c r="A75" s="7" t="s">
        <v>7</v>
      </c>
      <c r="B75" s="7" t="s">
        <v>138</v>
      </c>
      <c r="C75" s="7" t="s">
        <v>9</v>
      </c>
      <c r="D75" s="7" t="s">
        <v>53</v>
      </c>
      <c r="E75" s="8" t="s">
        <v>71</v>
      </c>
      <c r="F75" s="8">
        <v>6</v>
      </c>
      <c r="G75" s="8" t="s">
        <v>199</v>
      </c>
      <c r="H75" s="8" t="s">
        <v>199</v>
      </c>
      <c r="I75" s="7" t="s">
        <v>97</v>
      </c>
      <c r="J75" s="9">
        <v>5.2699516000000002E-2</v>
      </c>
      <c r="K75" s="10">
        <v>15</v>
      </c>
      <c r="L75" s="9">
        <v>0.25</v>
      </c>
      <c r="M75" s="9">
        <v>10</v>
      </c>
      <c r="N75" s="9">
        <f t="shared" si="10"/>
        <v>2.5</v>
      </c>
      <c r="O75" s="9">
        <f t="shared" si="11"/>
        <v>47.438765851284096</v>
      </c>
      <c r="P75" s="9">
        <f t="shared" si="12"/>
        <v>15</v>
      </c>
      <c r="Q75" s="9">
        <f t="shared" si="13"/>
        <v>0.79049274000000003</v>
      </c>
      <c r="R75" s="9">
        <f t="shared" si="14"/>
        <v>7.9049274000000003E-2</v>
      </c>
    </row>
    <row r="76" spans="1:18" hidden="1" x14ac:dyDescent="0.75">
      <c r="A76" s="7" t="s">
        <v>7</v>
      </c>
      <c r="B76" s="7" t="s">
        <v>139</v>
      </c>
      <c r="C76" s="7" t="s">
        <v>9</v>
      </c>
      <c r="D76" s="7" t="s">
        <v>10</v>
      </c>
      <c r="E76" s="8" t="s">
        <v>11</v>
      </c>
      <c r="F76" s="8">
        <v>7</v>
      </c>
      <c r="G76" s="8" t="s">
        <v>199</v>
      </c>
      <c r="H76" s="8" t="s">
        <v>199</v>
      </c>
      <c r="I76" s="7" t="s">
        <v>36</v>
      </c>
      <c r="J76" s="9">
        <v>0.117490554</v>
      </c>
      <c r="K76" s="10">
        <v>15</v>
      </c>
      <c r="L76" s="9">
        <v>0.25</v>
      </c>
      <c r="M76" s="9">
        <v>10</v>
      </c>
      <c r="N76" s="9">
        <f t="shared" si="10"/>
        <v>2.5</v>
      </c>
      <c r="O76" s="9">
        <f t="shared" si="11"/>
        <v>21.27830633941857</v>
      </c>
      <c r="P76" s="9">
        <f t="shared" si="12"/>
        <v>15</v>
      </c>
      <c r="Q76" s="9">
        <f t="shared" si="13"/>
        <v>1.76235831</v>
      </c>
      <c r="R76" s="9">
        <f t="shared" si="14"/>
        <v>0.17623583100000001</v>
      </c>
    </row>
    <row r="77" spans="1:18" hidden="1" x14ac:dyDescent="0.75">
      <c r="A77" s="7" t="s">
        <v>7</v>
      </c>
      <c r="B77" s="7" t="s">
        <v>140</v>
      </c>
      <c r="C77" s="7" t="s">
        <v>9</v>
      </c>
      <c r="D77" s="7" t="s">
        <v>50</v>
      </c>
      <c r="E77" s="8" t="s">
        <v>11</v>
      </c>
      <c r="F77" s="8">
        <v>12</v>
      </c>
      <c r="G77" s="8" t="s">
        <v>199</v>
      </c>
      <c r="H77" s="8" t="s">
        <v>199</v>
      </c>
      <c r="I77" s="7" t="s">
        <v>99</v>
      </c>
      <c r="J77" s="9">
        <v>0.123727328</v>
      </c>
      <c r="K77" s="10">
        <v>15</v>
      </c>
      <c r="L77" s="9">
        <v>0.25</v>
      </c>
      <c r="M77" s="9">
        <v>10</v>
      </c>
      <c r="N77" s="9">
        <f t="shared" si="10"/>
        <v>2.5</v>
      </c>
      <c r="O77" s="9">
        <f t="shared" si="11"/>
        <v>20.205722053578981</v>
      </c>
      <c r="P77" s="9">
        <f t="shared" si="12"/>
        <v>15</v>
      </c>
      <c r="Q77" s="9">
        <f t="shared" si="13"/>
        <v>1.85590992</v>
      </c>
      <c r="R77" s="9">
        <f t="shared" si="14"/>
        <v>0.18559099200000001</v>
      </c>
    </row>
    <row r="78" spans="1:18" hidden="1" x14ac:dyDescent="0.75">
      <c r="A78" s="7" t="s">
        <v>7</v>
      </c>
      <c r="B78" s="7" t="s">
        <v>141</v>
      </c>
      <c r="C78" s="7" t="s">
        <v>9</v>
      </c>
      <c r="D78" s="7" t="s">
        <v>10</v>
      </c>
      <c r="E78" s="8" t="s">
        <v>71</v>
      </c>
      <c r="F78" s="8">
        <v>8</v>
      </c>
      <c r="G78" s="8" t="s">
        <v>199</v>
      </c>
      <c r="H78" s="8" t="s">
        <v>199</v>
      </c>
      <c r="I78" s="7" t="s">
        <v>18</v>
      </c>
      <c r="J78" s="9">
        <v>8.8035952000000001E-2</v>
      </c>
      <c r="K78" s="10">
        <v>15</v>
      </c>
      <c r="L78" s="9">
        <v>0.25</v>
      </c>
      <c r="M78" s="9">
        <v>10</v>
      </c>
      <c r="N78" s="9">
        <f t="shared" si="10"/>
        <v>2.5</v>
      </c>
      <c r="O78" s="9">
        <f t="shared" si="11"/>
        <v>28.397489243939795</v>
      </c>
      <c r="P78" s="9">
        <f t="shared" si="12"/>
        <v>15</v>
      </c>
      <c r="Q78" s="9">
        <f t="shared" si="13"/>
        <v>1.32053928</v>
      </c>
      <c r="R78" s="9">
        <f t="shared" si="14"/>
        <v>0.13205392799999999</v>
      </c>
    </row>
    <row r="79" spans="1:18" hidden="1" x14ac:dyDescent="0.75">
      <c r="A79" s="7" t="s">
        <v>7</v>
      </c>
      <c r="B79" s="7" t="s">
        <v>142</v>
      </c>
      <c r="C79" s="7" t="s">
        <v>9</v>
      </c>
      <c r="D79" s="7" t="s">
        <v>10</v>
      </c>
      <c r="E79" s="8" t="s">
        <v>33</v>
      </c>
      <c r="F79" s="8">
        <v>12</v>
      </c>
      <c r="G79" s="8" t="s">
        <v>199</v>
      </c>
      <c r="H79" s="8" t="s">
        <v>199</v>
      </c>
      <c r="I79" s="7" t="s">
        <v>12</v>
      </c>
      <c r="J79" s="9">
        <v>0.116173467</v>
      </c>
      <c r="K79" s="10">
        <v>15</v>
      </c>
      <c r="L79" s="9">
        <v>0.25</v>
      </c>
      <c r="M79" s="9">
        <v>10</v>
      </c>
      <c r="N79" s="9">
        <f t="shared" si="10"/>
        <v>2.5</v>
      </c>
      <c r="O79" s="9">
        <f t="shared" si="11"/>
        <v>21.519543700972616</v>
      </c>
      <c r="P79" s="9">
        <f t="shared" si="12"/>
        <v>15</v>
      </c>
      <c r="Q79" s="9">
        <f t="shared" si="13"/>
        <v>1.742602005</v>
      </c>
      <c r="R79" s="9">
        <f t="shared" si="14"/>
        <v>0.17426020049999999</v>
      </c>
    </row>
    <row r="80" spans="1:18" hidden="1" x14ac:dyDescent="0.75">
      <c r="A80" s="7" t="s">
        <v>7</v>
      </c>
      <c r="B80" s="7" t="s">
        <v>143</v>
      </c>
      <c r="C80" s="7" t="s">
        <v>9</v>
      </c>
      <c r="D80" s="7" t="s">
        <v>50</v>
      </c>
      <c r="E80" s="8" t="s">
        <v>23</v>
      </c>
      <c r="F80" s="8">
        <v>11</v>
      </c>
      <c r="G80" s="8" t="s">
        <v>199</v>
      </c>
      <c r="H80" s="8" t="s">
        <v>199</v>
      </c>
      <c r="I80" s="7" t="s">
        <v>58</v>
      </c>
      <c r="J80" s="9">
        <v>0.14858828299999999</v>
      </c>
      <c r="K80" s="10">
        <v>15</v>
      </c>
      <c r="L80" s="9">
        <v>0.25</v>
      </c>
      <c r="M80" s="9">
        <v>10</v>
      </c>
      <c r="N80" s="9">
        <f t="shared" si="10"/>
        <v>2.5</v>
      </c>
      <c r="O80" s="9">
        <f t="shared" si="11"/>
        <v>16.825014392285564</v>
      </c>
      <c r="P80" s="9">
        <f t="shared" si="12"/>
        <v>15</v>
      </c>
      <c r="Q80" s="9">
        <f t="shared" si="13"/>
        <v>2.2288242449999998</v>
      </c>
      <c r="R80" s="9">
        <f t="shared" si="14"/>
        <v>0.22288242449999998</v>
      </c>
    </row>
    <row r="81" spans="1:18" hidden="1" x14ac:dyDescent="0.75">
      <c r="A81" s="7" t="s">
        <v>7</v>
      </c>
      <c r="B81" s="7" t="s">
        <v>144</v>
      </c>
      <c r="C81" s="7" t="s">
        <v>9</v>
      </c>
      <c r="D81" s="7" t="s">
        <v>53</v>
      </c>
      <c r="E81" s="8" t="s">
        <v>11</v>
      </c>
      <c r="F81" s="8">
        <v>4</v>
      </c>
      <c r="G81" s="8" t="s">
        <v>199</v>
      </c>
      <c r="H81" s="8" t="s">
        <v>199</v>
      </c>
      <c r="I81" s="7" t="s">
        <v>62</v>
      </c>
      <c r="J81" s="9">
        <v>9.7532610000000006E-2</v>
      </c>
      <c r="K81" s="10">
        <v>15</v>
      </c>
      <c r="L81" s="9">
        <v>0.25</v>
      </c>
      <c r="M81" s="9">
        <v>10</v>
      </c>
      <c r="N81" s="9">
        <f t="shared" si="10"/>
        <v>2.5</v>
      </c>
      <c r="O81" s="9">
        <f t="shared" si="11"/>
        <v>25.632452571504032</v>
      </c>
      <c r="P81" s="9">
        <f t="shared" si="12"/>
        <v>15</v>
      </c>
      <c r="Q81" s="9">
        <f t="shared" si="13"/>
        <v>1.4629891500000001</v>
      </c>
      <c r="R81" s="9">
        <f t="shared" si="14"/>
        <v>0.146298915</v>
      </c>
    </row>
    <row r="82" spans="1:18" hidden="1" x14ac:dyDescent="0.75">
      <c r="A82" s="7" t="s">
        <v>7</v>
      </c>
      <c r="B82" s="7" t="s">
        <v>145</v>
      </c>
      <c r="C82" s="7" t="s">
        <v>9</v>
      </c>
      <c r="D82" s="7" t="s">
        <v>10</v>
      </c>
      <c r="E82" s="8" t="s">
        <v>20</v>
      </c>
      <c r="F82" s="8">
        <v>6</v>
      </c>
      <c r="G82" s="8" t="s">
        <v>199</v>
      </c>
      <c r="H82" s="8" t="s">
        <v>199</v>
      </c>
      <c r="I82" s="7" t="s">
        <v>27</v>
      </c>
      <c r="J82" s="9">
        <v>0.116375773</v>
      </c>
      <c r="K82" s="10">
        <v>15</v>
      </c>
      <c r="L82" s="9">
        <v>0.25</v>
      </c>
      <c r="M82" s="9">
        <v>10</v>
      </c>
      <c r="N82" s="9">
        <f t="shared" si="10"/>
        <v>2.5</v>
      </c>
      <c r="O82" s="9">
        <f t="shared" si="11"/>
        <v>21.48213443016185</v>
      </c>
      <c r="P82" s="9">
        <f t="shared" si="12"/>
        <v>15</v>
      </c>
      <c r="Q82" s="9">
        <f t="shared" si="13"/>
        <v>1.7456365950000001</v>
      </c>
      <c r="R82" s="9">
        <f t="shared" si="14"/>
        <v>0.17456365950000002</v>
      </c>
    </row>
    <row r="83" spans="1:18" hidden="1" x14ac:dyDescent="0.75">
      <c r="A83" s="7" t="s">
        <v>7</v>
      </c>
      <c r="B83" s="7" t="s">
        <v>146</v>
      </c>
      <c r="C83" s="7" t="s">
        <v>9</v>
      </c>
      <c r="D83" s="7" t="s">
        <v>53</v>
      </c>
      <c r="E83" s="8" t="s">
        <v>33</v>
      </c>
      <c r="F83" s="8">
        <v>11</v>
      </c>
      <c r="G83" s="8" t="s">
        <v>199</v>
      </c>
      <c r="H83" s="8" t="s">
        <v>199</v>
      </c>
      <c r="I83" s="7" t="s">
        <v>66</v>
      </c>
      <c r="J83" s="9">
        <v>5.4853680000000002E-2</v>
      </c>
      <c r="K83" s="10">
        <v>15</v>
      </c>
      <c r="L83" s="9">
        <v>0.25</v>
      </c>
      <c r="M83" s="9">
        <v>10</v>
      </c>
      <c r="N83" s="9">
        <f t="shared" si="10"/>
        <v>2.5</v>
      </c>
      <c r="O83" s="9">
        <f t="shared" si="11"/>
        <v>45.575793638640107</v>
      </c>
      <c r="P83" s="9">
        <f t="shared" si="12"/>
        <v>15</v>
      </c>
      <c r="Q83" s="9">
        <f t="shared" si="13"/>
        <v>0.82280520000000001</v>
      </c>
      <c r="R83" s="9">
        <f t="shared" si="14"/>
        <v>8.2280519999999996E-2</v>
      </c>
    </row>
    <row r="84" spans="1:18" hidden="1" x14ac:dyDescent="0.75">
      <c r="A84" s="7" t="s">
        <v>7</v>
      </c>
      <c r="B84" s="7" t="s">
        <v>147</v>
      </c>
      <c r="C84" s="7" t="s">
        <v>9</v>
      </c>
      <c r="D84" s="7" t="s">
        <v>50</v>
      </c>
      <c r="E84" s="8" t="s">
        <v>23</v>
      </c>
      <c r="F84" s="8">
        <v>4</v>
      </c>
      <c r="G84" s="8" t="s">
        <v>199</v>
      </c>
      <c r="H84" s="8" t="s">
        <v>199</v>
      </c>
      <c r="I84" s="7" t="s">
        <v>69</v>
      </c>
      <c r="J84" s="9">
        <v>0.116211497</v>
      </c>
      <c r="K84" s="10">
        <v>15</v>
      </c>
      <c r="L84" s="9">
        <v>0.25</v>
      </c>
      <c r="M84" s="9">
        <v>10</v>
      </c>
      <c r="N84" s="9">
        <f t="shared" si="10"/>
        <v>2.5</v>
      </c>
      <c r="O84" s="9">
        <f t="shared" si="11"/>
        <v>21.512501469626539</v>
      </c>
      <c r="P84" s="9">
        <f t="shared" si="12"/>
        <v>15</v>
      </c>
      <c r="Q84" s="9">
        <f t="shared" si="13"/>
        <v>1.7431724549999998</v>
      </c>
      <c r="R84" s="9">
        <f t="shared" si="14"/>
        <v>0.1743172455</v>
      </c>
    </row>
    <row r="85" spans="1:18" hidden="1" x14ac:dyDescent="0.75">
      <c r="A85" s="7" t="s">
        <v>7</v>
      </c>
      <c r="B85" s="7" t="s">
        <v>148</v>
      </c>
      <c r="C85" s="7" t="s">
        <v>9</v>
      </c>
      <c r="D85" s="7" t="s">
        <v>50</v>
      </c>
      <c r="E85" s="8" t="s">
        <v>33</v>
      </c>
      <c r="F85" s="8">
        <v>4</v>
      </c>
      <c r="G85" s="8" t="s">
        <v>199</v>
      </c>
      <c r="H85" s="8" t="s">
        <v>199</v>
      </c>
      <c r="I85" s="7" t="s">
        <v>88</v>
      </c>
      <c r="J85" s="9">
        <v>0.14988736799999999</v>
      </c>
      <c r="K85" s="10">
        <v>15</v>
      </c>
      <c r="L85" s="9">
        <v>0.25</v>
      </c>
      <c r="M85" s="9">
        <v>10</v>
      </c>
      <c r="N85" s="9">
        <f t="shared" si="10"/>
        <v>2.5</v>
      </c>
      <c r="O85" s="9">
        <f t="shared" si="11"/>
        <v>16.679190737407573</v>
      </c>
      <c r="P85" s="9">
        <f t="shared" si="12"/>
        <v>15</v>
      </c>
      <c r="Q85" s="9">
        <f t="shared" si="13"/>
        <v>2.24831052</v>
      </c>
      <c r="R85" s="9">
        <f t="shared" si="14"/>
        <v>0.224831052</v>
      </c>
    </row>
    <row r="86" spans="1:18" hidden="1" x14ac:dyDescent="0.75">
      <c r="A86" s="7" t="s">
        <v>7</v>
      </c>
      <c r="B86" s="7" t="s">
        <v>149</v>
      </c>
      <c r="C86" s="7" t="s">
        <v>9</v>
      </c>
      <c r="D86" s="7" t="s">
        <v>10</v>
      </c>
      <c r="E86" s="8" t="s">
        <v>20</v>
      </c>
      <c r="F86" s="8">
        <v>11</v>
      </c>
      <c r="G86" s="8" t="s">
        <v>199</v>
      </c>
      <c r="H86" s="8" t="s">
        <v>199</v>
      </c>
      <c r="I86" s="7" t="s">
        <v>31</v>
      </c>
      <c r="J86" s="9">
        <v>0.11016946599999999</v>
      </c>
      <c r="K86" s="10">
        <v>15</v>
      </c>
      <c r="L86" s="9">
        <v>0.25</v>
      </c>
      <c r="M86" s="9">
        <v>10</v>
      </c>
      <c r="N86" s="9">
        <f t="shared" si="10"/>
        <v>2.5</v>
      </c>
      <c r="O86" s="9">
        <f t="shared" si="11"/>
        <v>22.692312949942046</v>
      </c>
      <c r="P86" s="9">
        <f t="shared" si="12"/>
        <v>15</v>
      </c>
      <c r="Q86" s="9">
        <f t="shared" si="13"/>
        <v>1.65254199</v>
      </c>
      <c r="R86" s="9">
        <f t="shared" si="14"/>
        <v>0.16525419899999999</v>
      </c>
    </row>
    <row r="87" spans="1:18" hidden="1" x14ac:dyDescent="0.75">
      <c r="A87" s="7" t="s">
        <v>7</v>
      </c>
      <c r="B87" s="7" t="s">
        <v>150</v>
      </c>
      <c r="C87" s="7" t="s">
        <v>9</v>
      </c>
      <c r="D87" s="7" t="s">
        <v>50</v>
      </c>
      <c r="E87" s="8" t="s">
        <v>71</v>
      </c>
      <c r="F87" s="8">
        <v>2</v>
      </c>
      <c r="G87" s="8" t="s">
        <v>199</v>
      </c>
      <c r="H87" s="8" t="s">
        <v>199</v>
      </c>
      <c r="I87" s="7" t="s">
        <v>109</v>
      </c>
      <c r="J87" s="9">
        <v>0.13387252399999999</v>
      </c>
      <c r="K87" s="10">
        <v>15</v>
      </c>
      <c r="L87" s="9">
        <v>0.25</v>
      </c>
      <c r="M87" s="9">
        <v>10</v>
      </c>
      <c r="N87" s="9">
        <f t="shared" si="10"/>
        <v>2.5</v>
      </c>
      <c r="O87" s="9">
        <f t="shared" si="11"/>
        <v>18.674481703205956</v>
      </c>
      <c r="P87" s="9">
        <f t="shared" si="12"/>
        <v>15</v>
      </c>
      <c r="Q87" s="9">
        <f t="shared" si="13"/>
        <v>2.0080878599999998</v>
      </c>
      <c r="R87" s="9">
        <f t="shared" si="14"/>
        <v>0.20080878599999999</v>
      </c>
    </row>
    <row r="88" spans="1:18" hidden="1" x14ac:dyDescent="0.75">
      <c r="A88" s="7" t="s">
        <v>7</v>
      </c>
      <c r="B88" s="7" t="s">
        <v>151</v>
      </c>
      <c r="C88" s="7" t="s">
        <v>9</v>
      </c>
      <c r="D88" s="7" t="s">
        <v>10</v>
      </c>
      <c r="E88" s="8" t="s">
        <v>17</v>
      </c>
      <c r="F88" s="8">
        <v>4</v>
      </c>
      <c r="G88" s="8" t="s">
        <v>199</v>
      </c>
      <c r="H88" s="8" t="s">
        <v>199</v>
      </c>
      <c r="I88" s="7" t="s">
        <v>29</v>
      </c>
      <c r="J88" s="9">
        <v>0.16551342399999999</v>
      </c>
      <c r="K88" s="10">
        <v>15</v>
      </c>
      <c r="L88" s="9">
        <v>0.25</v>
      </c>
      <c r="M88" s="9">
        <v>10</v>
      </c>
      <c r="N88" s="9">
        <f t="shared" si="10"/>
        <v>2.5</v>
      </c>
      <c r="O88" s="9">
        <f t="shared" si="11"/>
        <v>15.104515027131576</v>
      </c>
      <c r="P88" s="9">
        <f t="shared" si="12"/>
        <v>15</v>
      </c>
      <c r="Q88" s="9">
        <f t="shared" si="13"/>
        <v>2.4827013600000001</v>
      </c>
      <c r="R88" s="9">
        <f t="shared" si="14"/>
        <v>0.248270136</v>
      </c>
    </row>
    <row r="89" spans="1:18" hidden="1" x14ac:dyDescent="0.75">
      <c r="A89" s="7" t="s">
        <v>7</v>
      </c>
      <c r="B89" s="7" t="s">
        <v>152</v>
      </c>
      <c r="C89" s="7" t="s">
        <v>9</v>
      </c>
      <c r="D89" s="7" t="s">
        <v>10</v>
      </c>
      <c r="E89" s="8" t="s">
        <v>71</v>
      </c>
      <c r="F89" s="8">
        <v>11</v>
      </c>
      <c r="G89" s="8" t="s">
        <v>199</v>
      </c>
      <c r="H89" s="8" t="s">
        <v>199</v>
      </c>
      <c r="I89" s="7" t="s">
        <v>15</v>
      </c>
      <c r="J89" s="9">
        <v>8.5362874000000005E-2</v>
      </c>
      <c r="K89" s="10">
        <v>15</v>
      </c>
      <c r="L89" s="9">
        <v>0.25</v>
      </c>
      <c r="M89" s="9">
        <v>10</v>
      </c>
      <c r="N89" s="9">
        <f t="shared" si="10"/>
        <v>2.5</v>
      </c>
      <c r="O89" s="9">
        <f t="shared" si="11"/>
        <v>29.28673652670129</v>
      </c>
      <c r="P89" s="9">
        <f t="shared" si="12"/>
        <v>15</v>
      </c>
      <c r="Q89" s="9">
        <f t="shared" si="13"/>
        <v>1.28044311</v>
      </c>
      <c r="R89" s="9">
        <f t="shared" si="14"/>
        <v>0.12804431099999999</v>
      </c>
    </row>
    <row r="90" spans="1:18" hidden="1" x14ac:dyDescent="0.75">
      <c r="A90" s="7" t="s">
        <v>7</v>
      </c>
      <c r="B90" s="7" t="s">
        <v>153</v>
      </c>
      <c r="C90" s="7" t="s">
        <v>9</v>
      </c>
      <c r="D90" s="7" t="s">
        <v>50</v>
      </c>
      <c r="E90" s="8" t="s">
        <v>17</v>
      </c>
      <c r="F90" s="8">
        <v>10</v>
      </c>
      <c r="G90" s="8" t="s">
        <v>199</v>
      </c>
      <c r="H90" s="8" t="s">
        <v>199</v>
      </c>
      <c r="I90" s="7" t="s">
        <v>84</v>
      </c>
      <c r="J90" s="9">
        <v>0.28230802999999999</v>
      </c>
      <c r="K90" s="10">
        <v>15</v>
      </c>
      <c r="L90" s="9">
        <v>0.25</v>
      </c>
      <c r="M90" s="9">
        <v>10</v>
      </c>
      <c r="N90" s="9">
        <f t="shared" si="10"/>
        <v>2.5</v>
      </c>
      <c r="O90" s="9">
        <f t="shared" si="11"/>
        <v>8.8555752381538717</v>
      </c>
      <c r="P90" s="9">
        <f t="shared" si="12"/>
        <v>8.8555752381538717</v>
      </c>
      <c r="Q90" s="9">
        <f t="shared" si="13"/>
        <v>2.5000000000000004</v>
      </c>
      <c r="R90" s="9">
        <f t="shared" si="14"/>
        <v>0.25000000000000006</v>
      </c>
    </row>
    <row r="91" spans="1:18" hidden="1" x14ac:dyDescent="0.75">
      <c r="A91" s="7" t="s">
        <v>7</v>
      </c>
      <c r="B91" s="7" t="s">
        <v>154</v>
      </c>
      <c r="C91" s="7" t="s">
        <v>44</v>
      </c>
      <c r="D91" s="7" t="s">
        <v>47</v>
      </c>
      <c r="E91" s="8" t="s">
        <v>33</v>
      </c>
      <c r="F91" s="8">
        <v>2</v>
      </c>
      <c r="G91" s="8" t="s">
        <v>199</v>
      </c>
      <c r="H91" s="8" t="s">
        <v>199</v>
      </c>
      <c r="I91" s="7" t="s">
        <v>48</v>
      </c>
      <c r="J91" s="9">
        <v>2.9837061000000002E-2</v>
      </c>
      <c r="K91" s="10">
        <v>15</v>
      </c>
      <c r="L91" s="9">
        <v>0.25</v>
      </c>
      <c r="M91" s="9">
        <v>10</v>
      </c>
      <c r="N91" s="9">
        <f t="shared" si="10"/>
        <v>2.5</v>
      </c>
      <c r="O91" s="9">
        <f t="shared" si="11"/>
        <v>83.788413342721654</v>
      </c>
      <c r="P91" s="9">
        <f t="shared" si="12"/>
        <v>15</v>
      </c>
      <c r="Q91" s="9">
        <f t="shared" si="13"/>
        <v>0.44755591500000003</v>
      </c>
      <c r="R91" s="9">
        <f t="shared" si="14"/>
        <v>4.4755591500000004E-2</v>
      </c>
    </row>
    <row r="92" spans="1:18" x14ac:dyDescent="0.75">
      <c r="A92" s="7" t="s">
        <v>156</v>
      </c>
      <c r="B92" s="7" t="s">
        <v>172</v>
      </c>
      <c r="C92" s="7" t="s">
        <v>9</v>
      </c>
      <c r="D92" s="7" t="s">
        <v>50</v>
      </c>
      <c r="E92" s="8" t="s">
        <v>17</v>
      </c>
      <c r="F92" s="8">
        <v>1</v>
      </c>
      <c r="G92" s="8" t="s">
        <v>17</v>
      </c>
      <c r="H92" s="8">
        <v>7</v>
      </c>
      <c r="I92" s="7" t="s">
        <v>51</v>
      </c>
      <c r="J92" s="10">
        <v>4.4094234000000003E-2</v>
      </c>
      <c r="K92" s="10">
        <v>15</v>
      </c>
      <c r="L92" s="9">
        <v>0.25</v>
      </c>
      <c r="M92" s="9">
        <v>10</v>
      </c>
      <c r="N92" s="9">
        <f t="shared" si="10"/>
        <v>2.5</v>
      </c>
      <c r="O92" s="9">
        <f t="shared" si="11"/>
        <v>56.696755407974656</v>
      </c>
      <c r="P92" s="9">
        <f t="shared" si="12"/>
        <v>15</v>
      </c>
      <c r="Q92" s="9">
        <f t="shared" si="13"/>
        <v>0.66141351000000004</v>
      </c>
      <c r="R92" s="9">
        <f t="shared" si="14"/>
        <v>6.6141351000000001E-2</v>
      </c>
    </row>
    <row r="93" spans="1:18" x14ac:dyDescent="0.75">
      <c r="A93" s="7" t="s">
        <v>156</v>
      </c>
      <c r="B93" s="7" t="s">
        <v>164</v>
      </c>
      <c r="C93" s="7" t="s">
        <v>9</v>
      </c>
      <c r="D93" s="7" t="s">
        <v>53</v>
      </c>
      <c r="E93" s="8" t="s">
        <v>71</v>
      </c>
      <c r="F93" s="8">
        <v>1</v>
      </c>
      <c r="G93" s="8" t="s">
        <v>71</v>
      </c>
      <c r="H93" s="8">
        <v>7</v>
      </c>
      <c r="I93" s="7" t="s">
        <v>54</v>
      </c>
      <c r="J93" s="10">
        <v>8.6226195000000005E-2</v>
      </c>
      <c r="K93" s="10">
        <v>15</v>
      </c>
      <c r="L93" s="9">
        <v>0.25</v>
      </c>
      <c r="M93" s="9">
        <v>10</v>
      </c>
      <c r="N93" s="9">
        <f t="shared" si="10"/>
        <v>2.5</v>
      </c>
      <c r="O93" s="9">
        <f t="shared" si="11"/>
        <v>28.993509454986388</v>
      </c>
      <c r="P93" s="9">
        <f t="shared" si="12"/>
        <v>15</v>
      </c>
      <c r="Q93" s="9">
        <f t="shared" si="13"/>
        <v>1.293392925</v>
      </c>
      <c r="R93" s="9">
        <f t="shared" si="14"/>
        <v>0.12933929250000001</v>
      </c>
    </row>
    <row r="94" spans="1:18" x14ac:dyDescent="0.75">
      <c r="A94" s="7" t="s">
        <v>156</v>
      </c>
      <c r="B94" s="7" t="s">
        <v>173</v>
      </c>
      <c r="C94" s="7" t="s">
        <v>9</v>
      </c>
      <c r="D94" s="7" t="s">
        <v>50</v>
      </c>
      <c r="E94" s="8" t="s">
        <v>23</v>
      </c>
      <c r="F94" s="8">
        <v>1</v>
      </c>
      <c r="G94" s="8" t="s">
        <v>23</v>
      </c>
      <c r="H94" s="8">
        <v>7</v>
      </c>
      <c r="I94" s="7" t="s">
        <v>56</v>
      </c>
      <c r="J94" s="10">
        <v>3.9138421E-2</v>
      </c>
      <c r="K94" s="10">
        <v>15</v>
      </c>
      <c r="L94" s="9">
        <v>0.25</v>
      </c>
      <c r="M94" s="9">
        <v>10</v>
      </c>
      <c r="N94" s="9">
        <f t="shared" si="10"/>
        <v>2.5</v>
      </c>
      <c r="O94" s="9">
        <f t="shared" si="11"/>
        <v>63.875852324241698</v>
      </c>
      <c r="P94" s="9">
        <f t="shared" si="12"/>
        <v>15</v>
      </c>
      <c r="Q94" s="9">
        <f t="shared" si="13"/>
        <v>0.58707631500000002</v>
      </c>
      <c r="R94" s="9">
        <f t="shared" si="14"/>
        <v>5.8707631500000003E-2</v>
      </c>
    </row>
    <row r="95" spans="1:18" x14ac:dyDescent="0.75">
      <c r="A95" s="7" t="s">
        <v>156</v>
      </c>
      <c r="B95" s="7" t="s">
        <v>187</v>
      </c>
      <c r="C95" s="7" t="s">
        <v>9</v>
      </c>
      <c r="D95" s="7" t="s">
        <v>50</v>
      </c>
      <c r="E95" s="8" t="s">
        <v>20</v>
      </c>
      <c r="F95" s="8">
        <v>1</v>
      </c>
      <c r="G95" s="8" t="s">
        <v>20</v>
      </c>
      <c r="H95" s="8">
        <v>7</v>
      </c>
      <c r="I95" s="7" t="s">
        <v>58</v>
      </c>
      <c r="J95" s="10">
        <v>1.7511714000000001E-2</v>
      </c>
      <c r="K95" s="10">
        <v>15</v>
      </c>
      <c r="L95" s="9">
        <v>0.25</v>
      </c>
      <c r="M95" s="9">
        <v>10</v>
      </c>
      <c r="N95" s="9">
        <f t="shared" si="10"/>
        <v>2.5</v>
      </c>
      <c r="O95" s="9">
        <f t="shared" si="11"/>
        <v>142.76158233283161</v>
      </c>
      <c r="P95" s="9">
        <f t="shared" si="12"/>
        <v>15</v>
      </c>
      <c r="Q95" s="9">
        <f t="shared" si="13"/>
        <v>0.26267571000000001</v>
      </c>
      <c r="R95" s="9">
        <f t="shared" si="14"/>
        <v>2.6267571E-2</v>
      </c>
    </row>
    <row r="96" spans="1:18" x14ac:dyDescent="0.75">
      <c r="A96" s="7" t="s">
        <v>156</v>
      </c>
      <c r="B96" s="7" t="s">
        <v>178</v>
      </c>
      <c r="C96" s="7" t="s">
        <v>9</v>
      </c>
      <c r="D96" s="7" t="s">
        <v>53</v>
      </c>
      <c r="E96" s="8" t="s">
        <v>14</v>
      </c>
      <c r="F96" s="8">
        <v>1</v>
      </c>
      <c r="G96" s="8" t="s">
        <v>14</v>
      </c>
      <c r="H96" s="8">
        <v>7</v>
      </c>
      <c r="I96" s="7" t="s">
        <v>60</v>
      </c>
      <c r="J96" s="10">
        <v>3.6261878999999997E-2</v>
      </c>
      <c r="K96" s="10">
        <v>15</v>
      </c>
      <c r="L96" s="9">
        <v>0.25</v>
      </c>
      <c r="M96" s="9">
        <v>10</v>
      </c>
      <c r="N96" s="9">
        <f t="shared" si="10"/>
        <v>2.5</v>
      </c>
      <c r="O96" s="9">
        <f t="shared" si="11"/>
        <v>68.942924882629498</v>
      </c>
      <c r="P96" s="9">
        <f t="shared" si="12"/>
        <v>15</v>
      </c>
      <c r="Q96" s="9">
        <f t="shared" si="13"/>
        <v>0.54392818499999995</v>
      </c>
      <c r="R96" s="9">
        <f t="shared" si="14"/>
        <v>5.4392818499999995E-2</v>
      </c>
    </row>
    <row r="97" spans="1:18" x14ac:dyDescent="0.75">
      <c r="A97" s="7" t="s">
        <v>156</v>
      </c>
      <c r="B97" s="7" t="s">
        <v>170</v>
      </c>
      <c r="C97" s="7" t="s">
        <v>9</v>
      </c>
      <c r="D97" s="7" t="s">
        <v>53</v>
      </c>
      <c r="E97" s="8" t="s">
        <v>11</v>
      </c>
      <c r="F97" s="8">
        <v>1</v>
      </c>
      <c r="G97" s="8" t="s">
        <v>11</v>
      </c>
      <c r="H97" s="8">
        <v>7</v>
      </c>
      <c r="I97" s="7" t="s">
        <v>62</v>
      </c>
      <c r="J97" s="10">
        <v>4.8391554000000003E-2</v>
      </c>
      <c r="K97" s="10">
        <v>15</v>
      </c>
      <c r="L97" s="9">
        <v>0.25</v>
      </c>
      <c r="M97" s="9">
        <v>10</v>
      </c>
      <c r="N97" s="9">
        <f t="shared" si="10"/>
        <v>2.5</v>
      </c>
      <c r="O97" s="9">
        <f t="shared" si="11"/>
        <v>51.661907778369752</v>
      </c>
      <c r="P97" s="9">
        <f t="shared" si="12"/>
        <v>15</v>
      </c>
      <c r="Q97" s="9">
        <f t="shared" si="13"/>
        <v>0.7258733100000001</v>
      </c>
      <c r="R97" s="9">
        <f t="shared" si="14"/>
        <v>7.2587331000000005E-2</v>
      </c>
    </row>
    <row r="98" spans="1:18" x14ac:dyDescent="0.75">
      <c r="A98" s="7" t="s">
        <v>156</v>
      </c>
      <c r="B98" s="7" t="s">
        <v>171</v>
      </c>
      <c r="C98" s="7" t="s">
        <v>9</v>
      </c>
      <c r="D98" s="7" t="s">
        <v>53</v>
      </c>
      <c r="E98" s="8" t="s">
        <v>33</v>
      </c>
      <c r="F98" s="8">
        <v>1</v>
      </c>
      <c r="G98" s="8" t="s">
        <v>33</v>
      </c>
      <c r="H98" s="8">
        <v>7</v>
      </c>
      <c r="I98" s="7" t="s">
        <v>64</v>
      </c>
      <c r="J98" s="10">
        <v>4.6615635000000002E-2</v>
      </c>
      <c r="K98" s="10">
        <v>15</v>
      </c>
      <c r="L98" s="9">
        <v>0.25</v>
      </c>
      <c r="M98" s="9">
        <v>10</v>
      </c>
      <c r="N98" s="9">
        <f t="shared" ref="N98:N121" si="15">L98*M98</f>
        <v>2.5</v>
      </c>
      <c r="O98" s="9">
        <f t="shared" ref="O98:O121" si="16">N98/J98</f>
        <v>53.63007497377221</v>
      </c>
      <c r="P98" s="9">
        <f t="shared" ref="P98:P121" si="17">IF(O98&lt;K98,O98,K98)</f>
        <v>15</v>
      </c>
      <c r="Q98" s="9">
        <f t="shared" ref="Q98:Q121" si="18">P98*J98</f>
        <v>0.69923452500000005</v>
      </c>
      <c r="R98" s="9">
        <f t="shared" ref="R98:R121" si="19">Q98/M98</f>
        <v>6.9923452500000011E-2</v>
      </c>
    </row>
    <row r="99" spans="1:18" x14ac:dyDescent="0.75">
      <c r="A99" s="7" t="s">
        <v>156</v>
      </c>
      <c r="B99" s="7" t="s">
        <v>160</v>
      </c>
      <c r="C99" s="7" t="s">
        <v>9</v>
      </c>
      <c r="D99" s="7" t="s">
        <v>53</v>
      </c>
      <c r="E99" s="8" t="s">
        <v>26</v>
      </c>
      <c r="F99" s="8">
        <v>1</v>
      </c>
      <c r="G99" s="8" t="s">
        <v>26</v>
      </c>
      <c r="H99" s="8">
        <v>7</v>
      </c>
      <c r="I99" s="7" t="s">
        <v>66</v>
      </c>
      <c r="J99" s="10">
        <v>0.155977693</v>
      </c>
      <c r="K99" s="10">
        <v>15</v>
      </c>
      <c r="L99" s="9">
        <v>0.25</v>
      </c>
      <c r="M99" s="9">
        <v>10</v>
      </c>
      <c r="N99" s="9">
        <f t="shared" si="15"/>
        <v>2.5</v>
      </c>
      <c r="O99" s="9">
        <f t="shared" si="16"/>
        <v>16.027932917305041</v>
      </c>
      <c r="P99" s="9">
        <f t="shared" si="17"/>
        <v>15</v>
      </c>
      <c r="Q99" s="9">
        <f t="shared" si="18"/>
        <v>2.3396653949999999</v>
      </c>
      <c r="R99" s="9">
        <f t="shared" si="19"/>
        <v>0.23396653949999999</v>
      </c>
    </row>
    <row r="100" spans="1:18" x14ac:dyDescent="0.75">
      <c r="A100" s="7" t="s">
        <v>156</v>
      </c>
      <c r="B100" s="7" t="s">
        <v>179</v>
      </c>
      <c r="C100" s="7" t="s">
        <v>9</v>
      </c>
      <c r="D100" s="7" t="s">
        <v>50</v>
      </c>
      <c r="E100" s="8" t="s">
        <v>17</v>
      </c>
      <c r="F100" s="8">
        <v>2</v>
      </c>
      <c r="G100" s="8" t="s">
        <v>17</v>
      </c>
      <c r="H100" s="8">
        <v>8</v>
      </c>
      <c r="I100" s="7" t="s">
        <v>69</v>
      </c>
      <c r="J100" s="10">
        <v>3.2586165E-2</v>
      </c>
      <c r="K100" s="10">
        <v>15</v>
      </c>
      <c r="L100" s="9">
        <v>0.25</v>
      </c>
      <c r="M100" s="9">
        <v>10</v>
      </c>
      <c r="N100" s="9">
        <f t="shared" si="15"/>
        <v>2.5</v>
      </c>
      <c r="O100" s="9">
        <f t="shared" si="16"/>
        <v>76.719675359159325</v>
      </c>
      <c r="P100" s="9">
        <f t="shared" si="17"/>
        <v>15</v>
      </c>
      <c r="Q100" s="9">
        <f t="shared" si="18"/>
        <v>0.488792475</v>
      </c>
      <c r="R100" s="9">
        <f t="shared" si="19"/>
        <v>4.88792475E-2</v>
      </c>
    </row>
    <row r="101" spans="1:18" x14ac:dyDescent="0.75">
      <c r="A101" s="7" t="s">
        <v>156</v>
      </c>
      <c r="B101" s="7" t="s">
        <v>185</v>
      </c>
      <c r="C101" s="7" t="s">
        <v>9</v>
      </c>
      <c r="D101" s="7" t="s">
        <v>50</v>
      </c>
      <c r="E101" s="8" t="s">
        <v>71</v>
      </c>
      <c r="F101" s="8">
        <v>2</v>
      </c>
      <c r="G101" s="8" t="s">
        <v>71</v>
      </c>
      <c r="H101" s="8">
        <v>8</v>
      </c>
      <c r="I101" s="7" t="s">
        <v>72</v>
      </c>
      <c r="J101" s="10">
        <v>2.0341366999999999E-2</v>
      </c>
      <c r="K101" s="10">
        <v>15</v>
      </c>
      <c r="L101" s="9">
        <v>0.25</v>
      </c>
      <c r="M101" s="9">
        <v>10</v>
      </c>
      <c r="N101" s="9">
        <f t="shared" si="15"/>
        <v>2.5</v>
      </c>
      <c r="O101" s="9">
        <f t="shared" si="16"/>
        <v>122.90226119021402</v>
      </c>
      <c r="P101" s="9">
        <f t="shared" si="17"/>
        <v>15</v>
      </c>
      <c r="Q101" s="9">
        <f t="shared" si="18"/>
        <v>0.30512050499999999</v>
      </c>
      <c r="R101" s="9">
        <f t="shared" si="19"/>
        <v>3.0512050499999999E-2</v>
      </c>
    </row>
    <row r="102" spans="1:18" x14ac:dyDescent="0.75">
      <c r="A102" s="7" t="s">
        <v>156</v>
      </c>
      <c r="B102" s="7" t="s">
        <v>158</v>
      </c>
      <c r="C102" s="7" t="s">
        <v>9</v>
      </c>
      <c r="D102" s="7" t="s">
        <v>53</v>
      </c>
      <c r="E102" s="8" t="s">
        <v>23</v>
      </c>
      <c r="F102" s="8">
        <v>2</v>
      </c>
      <c r="G102" s="8" t="s">
        <v>23</v>
      </c>
      <c r="H102" s="8">
        <v>8</v>
      </c>
      <c r="I102" s="7" t="s">
        <v>74</v>
      </c>
      <c r="J102" s="10">
        <v>0.34791216400000002</v>
      </c>
      <c r="K102" s="10">
        <v>15</v>
      </c>
      <c r="L102" s="9">
        <v>0.25</v>
      </c>
      <c r="M102" s="9">
        <v>10</v>
      </c>
      <c r="N102" s="9">
        <f t="shared" si="15"/>
        <v>2.5</v>
      </c>
      <c r="O102" s="9">
        <f t="shared" si="16"/>
        <v>7.1857217386627497</v>
      </c>
      <c r="P102" s="9">
        <f t="shared" si="17"/>
        <v>7.1857217386627497</v>
      </c>
      <c r="Q102" s="9">
        <f t="shared" si="18"/>
        <v>2.5</v>
      </c>
      <c r="R102" s="9">
        <f t="shared" si="19"/>
        <v>0.25</v>
      </c>
    </row>
    <row r="103" spans="1:18" x14ac:dyDescent="0.75">
      <c r="A103" s="7" t="s">
        <v>156</v>
      </c>
      <c r="B103" s="7" t="s">
        <v>186</v>
      </c>
      <c r="C103" s="7" t="s">
        <v>44</v>
      </c>
      <c r="D103" s="7" t="s">
        <v>50</v>
      </c>
      <c r="E103" s="8" t="s">
        <v>14</v>
      </c>
      <c r="F103" s="8">
        <v>2</v>
      </c>
      <c r="G103" s="8" t="s">
        <v>14</v>
      </c>
      <c r="H103" s="8">
        <v>8</v>
      </c>
      <c r="I103" s="7" t="s">
        <v>76</v>
      </c>
      <c r="J103" s="10">
        <v>2.0191770000000001E-2</v>
      </c>
      <c r="K103" s="10">
        <v>15</v>
      </c>
      <c r="L103" s="9">
        <v>0.25</v>
      </c>
      <c r="M103" s="9">
        <v>10</v>
      </c>
      <c r="N103" s="9">
        <f t="shared" si="15"/>
        <v>2.5</v>
      </c>
      <c r="O103" s="9">
        <f t="shared" si="16"/>
        <v>123.81282076806539</v>
      </c>
      <c r="P103" s="9">
        <f t="shared" si="17"/>
        <v>15</v>
      </c>
      <c r="Q103" s="9">
        <f t="shared" si="18"/>
        <v>0.30287655000000002</v>
      </c>
      <c r="R103" s="9">
        <f t="shared" si="19"/>
        <v>3.0287655000000004E-2</v>
      </c>
    </row>
    <row r="104" spans="1:18" x14ac:dyDescent="0.75">
      <c r="A104" s="7" t="s">
        <v>156</v>
      </c>
      <c r="B104" s="7" t="s">
        <v>180</v>
      </c>
      <c r="C104" s="7" t="s">
        <v>9</v>
      </c>
      <c r="D104" s="7" t="s">
        <v>50</v>
      </c>
      <c r="E104" s="8" t="s">
        <v>11</v>
      </c>
      <c r="F104" s="8">
        <v>2</v>
      </c>
      <c r="G104" s="8" t="s">
        <v>11</v>
      </c>
      <c r="H104" s="8">
        <v>8</v>
      </c>
      <c r="I104" s="7" t="s">
        <v>78</v>
      </c>
      <c r="J104" s="10">
        <v>3.0158490999999999E-2</v>
      </c>
      <c r="K104" s="10">
        <v>15</v>
      </c>
      <c r="L104" s="9">
        <v>0.25</v>
      </c>
      <c r="M104" s="9">
        <v>10</v>
      </c>
      <c r="N104" s="9">
        <f t="shared" si="15"/>
        <v>2.5</v>
      </c>
      <c r="O104" s="9">
        <f t="shared" si="16"/>
        <v>82.895394202581286</v>
      </c>
      <c r="P104" s="9">
        <f t="shared" si="17"/>
        <v>15</v>
      </c>
      <c r="Q104" s="9">
        <f t="shared" si="18"/>
        <v>0.45237736499999998</v>
      </c>
      <c r="R104" s="9">
        <f t="shared" si="19"/>
        <v>4.52377365E-2</v>
      </c>
    </row>
    <row r="105" spans="1:18" x14ac:dyDescent="0.75">
      <c r="A105" s="7" t="s">
        <v>156</v>
      </c>
      <c r="B105" s="7" t="s">
        <v>177</v>
      </c>
      <c r="C105" s="7" t="s">
        <v>9</v>
      </c>
      <c r="D105" s="7" t="s">
        <v>50</v>
      </c>
      <c r="E105" s="8" t="s">
        <v>33</v>
      </c>
      <c r="F105" s="8">
        <v>2</v>
      </c>
      <c r="G105" s="8" t="s">
        <v>33</v>
      </c>
      <c r="H105" s="8">
        <v>8</v>
      </c>
      <c r="I105" s="7" t="s">
        <v>80</v>
      </c>
      <c r="J105" s="10">
        <v>3.8249560000000002E-2</v>
      </c>
      <c r="K105" s="10">
        <v>15</v>
      </c>
      <c r="L105" s="9">
        <v>0.25</v>
      </c>
      <c r="M105" s="9">
        <v>10</v>
      </c>
      <c r="N105" s="9">
        <f t="shared" si="15"/>
        <v>2.5</v>
      </c>
      <c r="O105" s="9">
        <f t="shared" si="16"/>
        <v>65.360228980411804</v>
      </c>
      <c r="P105" s="9">
        <f t="shared" si="17"/>
        <v>15</v>
      </c>
      <c r="Q105" s="9">
        <f t="shared" si="18"/>
        <v>0.57374340000000001</v>
      </c>
      <c r="R105" s="9">
        <f t="shared" si="19"/>
        <v>5.7374340000000003E-2</v>
      </c>
    </row>
    <row r="106" spans="1:18" x14ac:dyDescent="0.75">
      <c r="A106" s="7" t="s">
        <v>156</v>
      </c>
      <c r="B106" s="7" t="s">
        <v>157</v>
      </c>
      <c r="C106" s="7" t="s">
        <v>9</v>
      </c>
      <c r="D106" s="7" t="s">
        <v>53</v>
      </c>
      <c r="E106" s="8" t="s">
        <v>26</v>
      </c>
      <c r="F106" s="8">
        <v>2</v>
      </c>
      <c r="G106" s="8" t="s">
        <v>26</v>
      </c>
      <c r="H106" s="8">
        <v>8</v>
      </c>
      <c r="I106" s="7" t="s">
        <v>82</v>
      </c>
      <c r="J106" s="10">
        <v>0.53156208800000004</v>
      </c>
      <c r="K106" s="10">
        <v>15</v>
      </c>
      <c r="L106" s="9">
        <v>0.25</v>
      </c>
      <c r="M106" s="9">
        <v>10</v>
      </c>
      <c r="N106" s="9">
        <f t="shared" si="15"/>
        <v>2.5</v>
      </c>
      <c r="O106" s="9">
        <f t="shared" si="16"/>
        <v>4.7031194594901207</v>
      </c>
      <c r="P106" s="9">
        <f t="shared" si="17"/>
        <v>4.7031194594901207</v>
      </c>
      <c r="Q106" s="9">
        <f t="shared" si="18"/>
        <v>2.5</v>
      </c>
      <c r="R106" s="9">
        <f t="shared" si="19"/>
        <v>0.25</v>
      </c>
    </row>
    <row r="107" spans="1:18" x14ac:dyDescent="0.75">
      <c r="A107" s="7" t="s">
        <v>156</v>
      </c>
      <c r="B107" s="7" t="s">
        <v>183</v>
      </c>
      <c r="C107" s="7" t="s">
        <v>9</v>
      </c>
      <c r="D107" s="7" t="s">
        <v>50</v>
      </c>
      <c r="E107" s="8" t="s">
        <v>17</v>
      </c>
      <c r="F107" s="8">
        <v>3</v>
      </c>
      <c r="G107" s="8" t="s">
        <v>17</v>
      </c>
      <c r="H107" s="8">
        <v>9</v>
      </c>
      <c r="I107" s="7" t="s">
        <v>84</v>
      </c>
      <c r="J107" s="10">
        <v>2.6414114999999998E-2</v>
      </c>
      <c r="K107" s="10">
        <v>15</v>
      </c>
      <c r="L107" s="9">
        <v>0.25</v>
      </c>
      <c r="M107" s="9">
        <v>10</v>
      </c>
      <c r="N107" s="9">
        <f t="shared" si="15"/>
        <v>2.5</v>
      </c>
      <c r="O107" s="9">
        <f t="shared" si="16"/>
        <v>94.646366156882408</v>
      </c>
      <c r="P107" s="9">
        <f t="shared" si="17"/>
        <v>15</v>
      </c>
      <c r="Q107" s="9">
        <f t="shared" si="18"/>
        <v>0.39621172499999996</v>
      </c>
      <c r="R107" s="9">
        <f t="shared" si="19"/>
        <v>3.9621172499999996E-2</v>
      </c>
    </row>
    <row r="108" spans="1:18" x14ac:dyDescent="0.75">
      <c r="A108" s="7" t="s">
        <v>156</v>
      </c>
      <c r="B108" s="7" t="s">
        <v>165</v>
      </c>
      <c r="C108" s="7" t="s">
        <v>9</v>
      </c>
      <c r="D108" s="7" t="s">
        <v>53</v>
      </c>
      <c r="E108" s="8" t="s">
        <v>71</v>
      </c>
      <c r="F108" s="8">
        <v>3</v>
      </c>
      <c r="G108" s="8" t="s">
        <v>71</v>
      </c>
      <c r="H108" s="8">
        <v>9</v>
      </c>
      <c r="I108" s="7" t="s">
        <v>86</v>
      </c>
      <c r="J108" s="10">
        <v>7.5254711000000002E-2</v>
      </c>
      <c r="K108" s="10">
        <v>15</v>
      </c>
      <c r="L108" s="9">
        <v>0.25</v>
      </c>
      <c r="M108" s="9">
        <v>10</v>
      </c>
      <c r="N108" s="9">
        <f t="shared" si="15"/>
        <v>2.5</v>
      </c>
      <c r="O108" s="9">
        <f t="shared" si="16"/>
        <v>33.220511603585855</v>
      </c>
      <c r="P108" s="9">
        <f t="shared" si="17"/>
        <v>15</v>
      </c>
      <c r="Q108" s="9">
        <f t="shared" si="18"/>
        <v>1.1288206650000001</v>
      </c>
      <c r="R108" s="9">
        <f t="shared" si="19"/>
        <v>0.11288206650000002</v>
      </c>
    </row>
    <row r="109" spans="1:18" x14ac:dyDescent="0.75">
      <c r="A109" s="7" t="s">
        <v>156</v>
      </c>
      <c r="B109" s="7" t="s">
        <v>182</v>
      </c>
      <c r="C109" s="7" t="s">
        <v>9</v>
      </c>
      <c r="D109" s="7" t="s">
        <v>50</v>
      </c>
      <c r="E109" s="8" t="s">
        <v>23</v>
      </c>
      <c r="F109" s="8">
        <v>3</v>
      </c>
      <c r="G109" s="8" t="s">
        <v>23</v>
      </c>
      <c r="H109" s="8">
        <v>9</v>
      </c>
      <c r="I109" s="7" t="s">
        <v>88</v>
      </c>
      <c r="J109" s="10">
        <v>2.6492190999999998E-2</v>
      </c>
      <c r="K109" s="10">
        <v>15</v>
      </c>
      <c r="L109" s="9">
        <v>0.25</v>
      </c>
      <c r="M109" s="9">
        <v>10</v>
      </c>
      <c r="N109" s="9">
        <f t="shared" si="15"/>
        <v>2.5</v>
      </c>
      <c r="O109" s="9">
        <f t="shared" si="16"/>
        <v>94.367430764786505</v>
      </c>
      <c r="P109" s="9">
        <f t="shared" si="17"/>
        <v>15</v>
      </c>
      <c r="Q109" s="9">
        <f t="shared" si="18"/>
        <v>0.39738286499999997</v>
      </c>
      <c r="R109" s="9">
        <f t="shared" si="19"/>
        <v>3.9738286499999997E-2</v>
      </c>
    </row>
    <row r="110" spans="1:18" x14ac:dyDescent="0.75">
      <c r="A110" s="7" t="s">
        <v>156</v>
      </c>
      <c r="B110" s="7" t="s">
        <v>169</v>
      </c>
      <c r="C110" s="7" t="s">
        <v>9</v>
      </c>
      <c r="D110" s="7" t="s">
        <v>53</v>
      </c>
      <c r="E110" s="8" t="s">
        <v>20</v>
      </c>
      <c r="F110" s="8">
        <v>3</v>
      </c>
      <c r="G110" s="8" t="s">
        <v>20</v>
      </c>
      <c r="H110" s="8">
        <v>9</v>
      </c>
      <c r="I110" s="7" t="s">
        <v>91</v>
      </c>
      <c r="J110" s="10">
        <v>5.4501832E-2</v>
      </c>
      <c r="K110" s="10">
        <v>15</v>
      </c>
      <c r="L110" s="9">
        <v>0.25</v>
      </c>
      <c r="M110" s="9">
        <v>10</v>
      </c>
      <c r="N110" s="9">
        <f t="shared" si="15"/>
        <v>2.5</v>
      </c>
      <c r="O110" s="9">
        <f t="shared" si="16"/>
        <v>45.870017727110529</v>
      </c>
      <c r="P110" s="9">
        <f t="shared" si="17"/>
        <v>15</v>
      </c>
      <c r="Q110" s="9">
        <f t="shared" si="18"/>
        <v>0.81752747999999997</v>
      </c>
      <c r="R110" s="9">
        <f t="shared" si="19"/>
        <v>8.1752748E-2</v>
      </c>
    </row>
    <row r="111" spans="1:18" x14ac:dyDescent="0.75">
      <c r="A111" s="7" t="s">
        <v>156</v>
      </c>
      <c r="B111" s="7" t="s">
        <v>181</v>
      </c>
      <c r="C111" s="7" t="s">
        <v>9</v>
      </c>
      <c r="D111" s="7" t="s">
        <v>53</v>
      </c>
      <c r="E111" s="8" t="s">
        <v>14</v>
      </c>
      <c r="F111" s="8">
        <v>3</v>
      </c>
      <c r="G111" s="8" t="s">
        <v>14</v>
      </c>
      <c r="H111" s="8">
        <v>9</v>
      </c>
      <c r="I111" s="7" t="s">
        <v>93</v>
      </c>
      <c r="J111" s="10">
        <v>2.6959294000000002E-2</v>
      </c>
      <c r="K111" s="10">
        <v>15</v>
      </c>
      <c r="L111" s="9">
        <v>0.25</v>
      </c>
      <c r="M111" s="9">
        <v>10</v>
      </c>
      <c r="N111" s="9">
        <f t="shared" si="15"/>
        <v>2.5</v>
      </c>
      <c r="O111" s="9">
        <f t="shared" si="16"/>
        <v>92.732398704506124</v>
      </c>
      <c r="P111" s="9">
        <f t="shared" si="17"/>
        <v>15</v>
      </c>
      <c r="Q111" s="9">
        <f t="shared" si="18"/>
        <v>0.40438941</v>
      </c>
      <c r="R111" s="9">
        <f t="shared" si="19"/>
        <v>4.0438940999999999E-2</v>
      </c>
    </row>
    <row r="112" spans="1:18" x14ac:dyDescent="0.75">
      <c r="A112" s="7" t="s">
        <v>156</v>
      </c>
      <c r="B112" s="7" t="s">
        <v>184</v>
      </c>
      <c r="C112" s="7" t="s">
        <v>9</v>
      </c>
      <c r="D112" s="7" t="s">
        <v>50</v>
      </c>
      <c r="E112" s="8" t="s">
        <v>11</v>
      </c>
      <c r="F112" s="8">
        <v>3</v>
      </c>
      <c r="G112" s="8" t="s">
        <v>11</v>
      </c>
      <c r="H112" s="8">
        <v>9</v>
      </c>
      <c r="I112" s="7" t="s">
        <v>95</v>
      </c>
      <c r="J112" s="10">
        <v>2.4088343000000002E-2</v>
      </c>
      <c r="K112" s="10">
        <v>15</v>
      </c>
      <c r="L112" s="9">
        <v>0.25</v>
      </c>
      <c r="M112" s="9">
        <v>10</v>
      </c>
      <c r="N112" s="9">
        <f t="shared" si="15"/>
        <v>2.5</v>
      </c>
      <c r="O112" s="9">
        <f t="shared" si="16"/>
        <v>103.78463973217252</v>
      </c>
      <c r="P112" s="9">
        <f t="shared" si="17"/>
        <v>15</v>
      </c>
      <c r="Q112" s="9">
        <f t="shared" si="18"/>
        <v>0.36132514500000001</v>
      </c>
      <c r="R112" s="9">
        <f t="shared" si="19"/>
        <v>3.6132514500000004E-2</v>
      </c>
    </row>
    <row r="113" spans="1:18" x14ac:dyDescent="0.75">
      <c r="A113" s="7" t="s">
        <v>156</v>
      </c>
      <c r="B113" s="7" t="s">
        <v>159</v>
      </c>
      <c r="C113" s="7" t="s">
        <v>9</v>
      </c>
      <c r="D113" s="7" t="s">
        <v>53</v>
      </c>
      <c r="E113" s="8" t="s">
        <v>33</v>
      </c>
      <c r="F113" s="8">
        <v>3</v>
      </c>
      <c r="G113" s="8" t="s">
        <v>26</v>
      </c>
      <c r="H113" s="8">
        <v>9</v>
      </c>
      <c r="I113" s="7" t="s">
        <v>97</v>
      </c>
      <c r="J113" s="10">
        <v>0.187221058</v>
      </c>
      <c r="K113" s="10">
        <v>15</v>
      </c>
      <c r="L113" s="9">
        <v>0.25</v>
      </c>
      <c r="M113" s="9">
        <v>10</v>
      </c>
      <c r="N113" s="9">
        <f t="shared" si="15"/>
        <v>2.5</v>
      </c>
      <c r="O113" s="9">
        <f t="shared" si="16"/>
        <v>13.353198762502453</v>
      </c>
      <c r="P113" s="9">
        <f t="shared" si="17"/>
        <v>13.353198762502453</v>
      </c>
      <c r="Q113" s="9">
        <f t="shared" si="18"/>
        <v>2.5</v>
      </c>
      <c r="R113" s="9">
        <f t="shared" si="19"/>
        <v>0.25</v>
      </c>
    </row>
    <row r="114" spans="1:18" x14ac:dyDescent="0.75">
      <c r="A114" s="7" t="s">
        <v>156</v>
      </c>
      <c r="B114" s="7" t="s">
        <v>168</v>
      </c>
      <c r="C114" s="7" t="s">
        <v>9</v>
      </c>
      <c r="D114" s="7" t="s">
        <v>50</v>
      </c>
      <c r="E114" s="8" t="s">
        <v>17</v>
      </c>
      <c r="F114" s="8">
        <v>4</v>
      </c>
      <c r="G114" s="8" t="s">
        <v>71</v>
      </c>
      <c r="H114" s="8">
        <v>10</v>
      </c>
      <c r="I114" s="7" t="s">
        <v>99</v>
      </c>
      <c r="J114" s="10">
        <v>5.7928014E-2</v>
      </c>
      <c r="K114" s="10">
        <v>15</v>
      </c>
      <c r="L114" s="9">
        <v>0.25</v>
      </c>
      <c r="M114" s="9">
        <v>10</v>
      </c>
      <c r="N114" s="9">
        <f t="shared" si="15"/>
        <v>2.5</v>
      </c>
      <c r="O114" s="9">
        <f t="shared" si="16"/>
        <v>43.15701208054535</v>
      </c>
      <c r="P114" s="9">
        <f t="shared" si="17"/>
        <v>15</v>
      </c>
      <c r="Q114" s="9">
        <f t="shared" si="18"/>
        <v>0.86892020999999997</v>
      </c>
      <c r="R114" s="9">
        <f t="shared" si="19"/>
        <v>8.6892021E-2</v>
      </c>
    </row>
    <row r="115" spans="1:18" x14ac:dyDescent="0.75">
      <c r="A115" s="7" t="s">
        <v>156</v>
      </c>
      <c r="B115" s="7" t="s">
        <v>167</v>
      </c>
      <c r="C115" s="7" t="s">
        <v>9</v>
      </c>
      <c r="D115" s="7" t="s">
        <v>50</v>
      </c>
      <c r="E115" s="8" t="s">
        <v>71</v>
      </c>
      <c r="F115" s="8">
        <v>4</v>
      </c>
      <c r="G115" s="8" t="s">
        <v>23</v>
      </c>
      <c r="H115" s="8">
        <v>10</v>
      </c>
      <c r="I115" s="7" t="s">
        <v>101</v>
      </c>
      <c r="J115" s="10">
        <v>6.7471015999999995E-2</v>
      </c>
      <c r="K115" s="10">
        <v>15</v>
      </c>
      <c r="L115" s="9">
        <v>0.25</v>
      </c>
      <c r="M115" s="9">
        <v>10</v>
      </c>
      <c r="N115" s="9">
        <f t="shared" si="15"/>
        <v>2.5</v>
      </c>
      <c r="O115" s="9">
        <f t="shared" si="16"/>
        <v>37.052947298140587</v>
      </c>
      <c r="P115" s="9">
        <f t="shared" si="17"/>
        <v>15</v>
      </c>
      <c r="Q115" s="9">
        <f t="shared" si="18"/>
        <v>1.0120652399999999</v>
      </c>
      <c r="R115" s="9">
        <f t="shared" si="19"/>
        <v>0.10120652399999999</v>
      </c>
    </row>
    <row r="116" spans="1:18" x14ac:dyDescent="0.75">
      <c r="A116" s="7" t="s">
        <v>156</v>
      </c>
      <c r="B116" s="7" t="s">
        <v>163</v>
      </c>
      <c r="C116" s="7" t="s">
        <v>44</v>
      </c>
      <c r="D116" s="7" t="s">
        <v>53</v>
      </c>
      <c r="E116" s="8" t="s">
        <v>23</v>
      </c>
      <c r="F116" s="8">
        <v>4</v>
      </c>
      <c r="G116" s="8" t="s">
        <v>20</v>
      </c>
      <c r="H116" s="8">
        <v>10</v>
      </c>
      <c r="I116" s="7" t="s">
        <v>103</v>
      </c>
      <c r="J116" s="10">
        <v>8.9571618000000006E-2</v>
      </c>
      <c r="K116" s="10">
        <v>15</v>
      </c>
      <c r="L116" s="9">
        <v>0.25</v>
      </c>
      <c r="M116" s="9">
        <v>10</v>
      </c>
      <c r="N116" s="9">
        <f t="shared" si="15"/>
        <v>2.5</v>
      </c>
      <c r="O116" s="9">
        <f t="shared" si="16"/>
        <v>27.910626779121035</v>
      </c>
      <c r="P116" s="9">
        <f t="shared" si="17"/>
        <v>15</v>
      </c>
      <c r="Q116" s="9">
        <f t="shared" si="18"/>
        <v>1.3435742700000002</v>
      </c>
      <c r="R116" s="9">
        <f t="shared" si="19"/>
        <v>0.13435742700000003</v>
      </c>
    </row>
    <row r="117" spans="1:18" x14ac:dyDescent="0.75">
      <c r="A117" s="7" t="s">
        <v>156</v>
      </c>
      <c r="B117" s="7" t="s">
        <v>166</v>
      </c>
      <c r="C117" s="7" t="s">
        <v>9</v>
      </c>
      <c r="D117" s="7" t="s">
        <v>53</v>
      </c>
      <c r="E117" s="8" t="s">
        <v>20</v>
      </c>
      <c r="F117" s="8">
        <v>4</v>
      </c>
      <c r="G117" s="8" t="s">
        <v>14</v>
      </c>
      <c r="H117" s="8">
        <v>10</v>
      </c>
      <c r="I117" s="7" t="s">
        <v>105</v>
      </c>
      <c r="J117" s="10">
        <v>6.8883350999999995E-2</v>
      </c>
      <c r="K117" s="10">
        <v>15</v>
      </c>
      <c r="L117" s="9">
        <v>0.25</v>
      </c>
      <c r="M117" s="9">
        <v>10</v>
      </c>
      <c r="N117" s="9">
        <f t="shared" si="15"/>
        <v>2.5</v>
      </c>
      <c r="O117" s="9">
        <f t="shared" si="16"/>
        <v>36.293240147390627</v>
      </c>
      <c r="P117" s="9">
        <f t="shared" si="17"/>
        <v>15</v>
      </c>
      <c r="Q117" s="9">
        <f t="shared" si="18"/>
        <v>1.0332502649999999</v>
      </c>
      <c r="R117" s="9">
        <f t="shared" si="19"/>
        <v>0.1033250265</v>
      </c>
    </row>
    <row r="118" spans="1:18" x14ac:dyDescent="0.75">
      <c r="A118" s="7" t="s">
        <v>156</v>
      </c>
      <c r="B118" s="7" t="s">
        <v>161</v>
      </c>
      <c r="C118" s="7" t="s">
        <v>9</v>
      </c>
      <c r="D118" s="7" t="s">
        <v>53</v>
      </c>
      <c r="E118" s="8" t="s">
        <v>14</v>
      </c>
      <c r="F118" s="8">
        <v>4</v>
      </c>
      <c r="G118" s="8" t="s">
        <v>11</v>
      </c>
      <c r="H118" s="8">
        <v>10</v>
      </c>
      <c r="I118" s="7" t="s">
        <v>107</v>
      </c>
      <c r="J118" s="10">
        <v>0.14388271699999999</v>
      </c>
      <c r="K118" s="10">
        <v>15</v>
      </c>
      <c r="L118" s="9">
        <v>0.25</v>
      </c>
      <c r="M118" s="9">
        <v>10</v>
      </c>
      <c r="N118" s="9">
        <f t="shared" si="15"/>
        <v>2.5</v>
      </c>
      <c r="O118" s="9">
        <f t="shared" si="16"/>
        <v>17.375262659239333</v>
      </c>
      <c r="P118" s="9">
        <f t="shared" si="17"/>
        <v>15</v>
      </c>
      <c r="Q118" s="9">
        <f t="shared" si="18"/>
        <v>2.158240755</v>
      </c>
      <c r="R118" s="9">
        <f t="shared" si="19"/>
        <v>0.21582407549999999</v>
      </c>
    </row>
    <row r="119" spans="1:18" x14ac:dyDescent="0.75">
      <c r="A119" s="7" t="s">
        <v>156</v>
      </c>
      <c r="B119" s="7" t="s">
        <v>162</v>
      </c>
      <c r="C119" s="7" t="s">
        <v>9</v>
      </c>
      <c r="D119" s="7" t="s">
        <v>50</v>
      </c>
      <c r="E119" s="8" t="s">
        <v>11</v>
      </c>
      <c r="F119" s="8">
        <v>4</v>
      </c>
      <c r="G119" s="8" t="s">
        <v>33</v>
      </c>
      <c r="H119" s="8">
        <v>10</v>
      </c>
      <c r="I119" s="7" t="s">
        <v>109</v>
      </c>
      <c r="J119" s="10">
        <v>9.0132157000000004E-2</v>
      </c>
      <c r="K119" s="10">
        <v>15</v>
      </c>
      <c r="L119" s="9">
        <v>0.25</v>
      </c>
      <c r="M119" s="9">
        <v>10</v>
      </c>
      <c r="N119" s="9">
        <f t="shared" si="15"/>
        <v>2.5</v>
      </c>
      <c r="O119" s="9">
        <f t="shared" si="16"/>
        <v>27.737048387735797</v>
      </c>
      <c r="P119" s="9">
        <f t="shared" si="17"/>
        <v>15</v>
      </c>
      <c r="Q119" s="9">
        <f t="shared" si="18"/>
        <v>1.3519823550000001</v>
      </c>
      <c r="R119" s="9">
        <f t="shared" si="19"/>
        <v>0.13519823550000001</v>
      </c>
    </row>
    <row r="120" spans="1:18" hidden="1" x14ac:dyDescent="0.75">
      <c r="A120" s="7" t="s">
        <v>156</v>
      </c>
      <c r="B120" s="7" t="s">
        <v>188</v>
      </c>
      <c r="C120" s="7" t="s">
        <v>44</v>
      </c>
      <c r="D120" s="7" t="s">
        <v>175</v>
      </c>
      <c r="E120" s="8" t="s">
        <v>20</v>
      </c>
      <c r="F120" s="8">
        <v>2</v>
      </c>
      <c r="G120" s="8" t="s">
        <v>199</v>
      </c>
      <c r="H120" s="8" t="s">
        <v>199</v>
      </c>
      <c r="I120" s="7" t="s">
        <v>176</v>
      </c>
      <c r="J120" s="10">
        <v>1.0056943E-2</v>
      </c>
      <c r="K120" s="10">
        <v>15</v>
      </c>
      <c r="L120" s="9">
        <v>0.25</v>
      </c>
      <c r="M120" s="9">
        <v>10</v>
      </c>
      <c r="N120" s="9">
        <f t="shared" si="15"/>
        <v>2.5</v>
      </c>
      <c r="O120" s="9">
        <f t="shared" si="16"/>
        <v>248.58448536498614</v>
      </c>
      <c r="P120" s="9">
        <f t="shared" si="17"/>
        <v>15</v>
      </c>
      <c r="Q120" s="9">
        <f t="shared" si="18"/>
        <v>0.150854145</v>
      </c>
      <c r="R120" s="9">
        <f t="shared" si="19"/>
        <v>1.50854145E-2</v>
      </c>
    </row>
    <row r="121" spans="1:18" hidden="1" x14ac:dyDescent="0.75">
      <c r="A121" s="7" t="s">
        <v>156</v>
      </c>
      <c r="B121" s="7" t="s">
        <v>174</v>
      </c>
      <c r="C121" s="7" t="s">
        <v>44</v>
      </c>
      <c r="D121" s="7" t="s">
        <v>175</v>
      </c>
      <c r="E121" s="8" t="s">
        <v>26</v>
      </c>
      <c r="F121" s="8">
        <v>3</v>
      </c>
      <c r="G121" s="8" t="s">
        <v>199</v>
      </c>
      <c r="H121" s="8" t="s">
        <v>199</v>
      </c>
      <c r="I121" s="7" t="s">
        <v>176</v>
      </c>
      <c r="J121" s="10">
        <v>3.8432236000000002E-2</v>
      </c>
      <c r="K121" s="10">
        <v>15</v>
      </c>
      <c r="L121" s="9">
        <v>0.25</v>
      </c>
      <c r="M121" s="9">
        <v>10</v>
      </c>
      <c r="N121" s="9">
        <f t="shared" si="15"/>
        <v>2.5</v>
      </c>
      <c r="O121" s="9">
        <f t="shared" si="16"/>
        <v>65.049558917154854</v>
      </c>
      <c r="P121" s="9">
        <f t="shared" si="17"/>
        <v>15</v>
      </c>
      <c r="Q121" s="9">
        <f t="shared" si="18"/>
        <v>0.57648354000000002</v>
      </c>
      <c r="R121" s="9">
        <f t="shared" si="19"/>
        <v>5.7648353999999999E-2</v>
      </c>
    </row>
  </sheetData>
  <autoFilter ref="A1:R121" xr:uid="{00000000-0001-0000-0000-000000000000}">
    <filterColumn colId="6">
      <filters>
        <filter val="A"/>
        <filter val="B"/>
        <filter val="C"/>
        <filter val="D"/>
        <filter val="E"/>
        <filter val="F"/>
        <filter val="G"/>
        <filter val="H"/>
      </filters>
    </filterColumn>
    <sortState xmlns:xlrd2="http://schemas.microsoft.com/office/spreadsheetml/2017/richdata2" ref="A2:R121">
      <sortCondition ref="B1:B121"/>
    </sortState>
  </autoFilter>
  <sortState xmlns:xlrd2="http://schemas.microsoft.com/office/spreadsheetml/2017/richdata2" ref="A2:R121">
    <sortCondition ref="F2:F121"/>
    <sortCondition ref="E2:E121"/>
  </sortState>
  <pageMargins left="0.7" right="0.7" top="0.75" bottom="0.75" header="0.3" footer="0.3"/>
  <pageSetup scale="5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Labrador, Kevin</cp:lastModifiedBy>
  <cp:lastPrinted>2025-05-20T19:02:48Z</cp:lastPrinted>
  <dcterms:created xsi:type="dcterms:W3CDTF">2015-06-05T18:17:20Z</dcterms:created>
  <dcterms:modified xsi:type="dcterms:W3CDTF">2026-05-21T19:34:33Z</dcterms:modified>
</cp:coreProperties>
</file>